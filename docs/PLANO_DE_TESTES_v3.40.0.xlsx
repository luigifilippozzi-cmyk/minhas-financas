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asos" sheetId="2" state="visible" r:id="rId2"/>
    <sheet xmlns:r="http://schemas.openxmlformats.org/officeDocument/2006/relationships" name="Inviolavei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C00000"/>
      <sz val="10"/>
    </font>
    <font>
      <name val="Arial"/>
      <charset val="1"/>
      <family val="0"/>
      <b val="1"/>
      <color rgb="FFBF8F00"/>
      <sz val="10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FF1F3A5F"/>
        <bgColor rgb="FF1F3864"/>
      </patternFill>
    </fill>
    <fill>
      <patternFill patternType="solid">
        <fgColor rgb="FF2E5E8A"/>
        <bgColor rgb="FF4A7BA8"/>
      </patternFill>
    </fill>
    <fill>
      <patternFill patternType="solid">
        <fgColor rgb="FF4A7BA8"/>
        <bgColor rgb="FF2E5E8A"/>
      </patternFill>
    </fill>
    <fill>
      <patternFill patternType="solid">
        <fgColor rgb="FFFFF3CD"/>
        <bgColor rgb="FFF4F6F8"/>
      </patternFill>
    </fill>
    <fill>
      <patternFill patternType="solid">
        <fgColor rgb="FFF4F6F8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11" fillId="0" borderId="0" pivotButton="0" quotePrefix="0" xfId="0"/>
    <xf numFmtId="0" fontId="12" fillId="0" borderId="0" pivotButton="0" quotePrefix="0" xfId="0"/>
    <xf numFmtId="164" fontId="0" fillId="0" borderId="0" pivotButton="0" quotePrefix="0" xfId="0"/>
    <xf numFmtId="0" fontId="9" fillId="0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color rgb="FF595959"/>
        <sz val="10"/>
      </font>
      <fill>
        <patternFill>
          <bgColor rgb="FFE7E6E6"/>
        </patternFill>
      </fill>
    </dxf>
    <dxf>
      <font>
        <name val="Arial"/>
        <charset val="1"/>
        <family val="0"/>
        <b val="1"/>
        <color rgb="FF7F6000"/>
        <sz val="10"/>
      </font>
      <fill>
        <patternFill>
          <bgColor rgb="FFFFD966"/>
        </patternFill>
      </fill>
    </dxf>
    <dxf>
      <font>
        <name val="Arial"/>
        <charset val="1"/>
        <family val="0"/>
        <color rgb="FF1F3864"/>
        <sz val="10"/>
      </font>
      <fill>
        <patternFill>
          <bgColor rgb="FFBDD7E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CCCCCC"/>
      <rgbColor rgb="FF595959"/>
      <rgbColor rgb="FF9999FF"/>
      <rgbColor rgb="FF993366"/>
      <rgbColor rgb="FFFFF3CD"/>
      <rgbColor rgb="FFF4F6F8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D96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FF6600"/>
      <rgbColor rgb="FF4A7BA8"/>
      <rgbColor rgb="FF969696"/>
      <rgbColor rgb="FF1F3864"/>
      <rgbColor rgb="FF339966"/>
      <rgbColor rgb="FF003300"/>
      <rgbColor rgb="FF333300"/>
      <rgbColor rgb="FF993300"/>
      <rgbColor rgb="FF993366"/>
      <rgbColor rgb="FF2E5E8A"/>
      <rgbColor rgb="FF1F3A5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2" customWidth="1" style="17" min="1" max="1"/>
    <col width="110" customWidth="1" style="17" min="2" max="2"/>
  </cols>
  <sheetData>
    <row r="1" ht="31.5" customHeight="1" s="18">
      <c r="A1" s="19" t="inlineStr">
        <is>
          <t>Plano de Testes — Minhas Financas v3.40.0</t>
        </is>
      </c>
    </row>
    <row r="2" ht="15" customHeight="1" s="18">
      <c r="A2" s="20" t="n"/>
      <c r="B2" s="20" t="n"/>
    </row>
    <row r="3" ht="15" customHeight="1" s="18">
      <c r="A3" s="21" t="inlineStr">
        <is>
          <t>Data de emissao:</t>
        </is>
      </c>
      <c r="B3" s="20" t="inlineStr">
        <is>
          <t>2026-04-23</t>
        </is>
      </c>
    </row>
    <row r="4" ht="15" customHeight="1" s="18">
      <c r="A4" s="21" t="inlineStr">
        <is>
          <t>Versao testada:</t>
        </is>
      </c>
      <c r="B4" s="20" t="inlineStr">
        <is>
          <t>v3.40.0</t>
        </is>
      </c>
    </row>
    <row r="5" ht="15" customHeight="1" s="18">
      <c r="A5" s="21" t="inlineStr">
        <is>
          <t>Baseline anterior:</t>
        </is>
      </c>
      <c r="B5" s="20" t="inlineStr">
        <is>
          <t>v3.39.8 (PLANO_DE_TESTES_v3.39.8)</t>
        </is>
      </c>
    </row>
    <row r="6" ht="15" customHeight="1" s="18">
      <c r="A6" s="21" t="inlineStr">
        <is>
          <t>Escopo:</t>
        </is>
      </c>
      <c r="B6" s="20" t="inlineStr">
        <is>
          <t>Full UAT — Regressao v3.39.8 + Novos v3.40.0 (Polimento Visual: ENH-007 + RF-071 + ENH-006)</t>
        </is>
      </c>
    </row>
    <row r="7" ht="15" customHeight="1" s="18">
      <c r="A7" s="21" t="inlineStr">
        <is>
          <t>Profundidade:</t>
        </is>
      </c>
      <c r="B7" s="20" t="inlineStr">
        <is>
          <t>Full — 98 TCs (85 herdados de v3.39.8 + 13 novos de v3.40.0)</t>
        </is>
      </c>
    </row>
    <row r="8" ht="15" customHeight="1" s="18">
      <c r="A8" s="21" t="inlineStr">
        <is>
          <t>Executor:</t>
        </is>
      </c>
      <c r="B8" s="20" t="n"/>
    </row>
    <row r="9" ht="15" customHeight="1" s="18">
      <c r="A9" s="21" t="inlineStr">
        <is>
          <t>Ambiente:</t>
        </is>
      </c>
      <c r="B9" s="20" t="inlineStr">
        <is>
          <t>localhost (npm run dev) + Firestore prod | emulador para testes destrutivos</t>
        </is>
      </c>
    </row>
    <row r="10" ht="15" customHeight="1" s="18">
      <c r="A10" s="20" t="n"/>
      <c r="B10" s="20" t="n"/>
    </row>
    <row r="11" ht="15" customHeight="1" s="18">
      <c r="A11" s="22" t="inlineStr">
        <is>
          <t>COMO USAR ESTA PLANILHA</t>
        </is>
      </c>
    </row>
    <row r="12" ht="15" customHeight="1" s="18">
      <c r="A12" s="20" t="n"/>
      <c r="B12" s="20" t="inlineStr">
        <is>
          <t>1. Abra a aba 'Casos'. Cada linha e um caso de teste (TC).</t>
        </is>
      </c>
    </row>
    <row r="13" ht="23.85" customHeight="1" s="18">
      <c r="A13" s="20" t="n"/>
      <c r="B13" s="20" t="inlineStr">
        <is>
          <t>2. Execute na ordem sugerida: Smoke (AUTH, NAV, ICON, SKEL) -&gt; Criticos (DESP, FAT, FLUXO, HERO, UX) -&gt; Regressao (CAT, CONTA, ORC, PAT, GRUPO, CTRL) -&gt; Invioláveis (REG, DS).</t>
        </is>
      </c>
    </row>
    <row r="14" ht="15" customHeight="1" s="18">
      <c r="A14" s="20" t="n"/>
      <c r="B14" s="20" t="inlineStr">
        <is>
          <t>3. Para cada TC marque coluna Status: PASS / FAIL / N/A / BLOCKED / Em execucao.</t>
        </is>
      </c>
    </row>
    <row r="15" ht="15" customHeight="1" s="18">
      <c r="A15" s="20" t="n"/>
      <c r="B15" s="20" t="inlineStr">
        <is>
          <t>4. Em caso de FAIL, registre evidencia em 'Observacoes' e abra BUG-0XX em docs/BUGS.md.</t>
        </is>
      </c>
    </row>
    <row r="16" ht="15" customHeight="1" s="18">
      <c r="A16" s="20" t="n"/>
      <c r="B16" s="20" t="inlineStr">
        <is>
          <t>5. Use a coluna 'Origem' para filtrar TCs de v3.38.0 (regressao) ou v3.39.x (novos).</t>
        </is>
      </c>
    </row>
    <row r="17" ht="15" customHeight="1" s="18">
      <c r="A17" s="20" t="n"/>
      <c r="B17" s="20" t="inlineStr">
        <is>
          <t>6. Na aba 'Inviolaveis' marque SIM/NAO para cada uma das 14 regras — zero SIMs e criterio bloqueante.</t>
        </is>
      </c>
    </row>
    <row r="18" ht="15" customHeight="1" s="18">
      <c r="A18" s="20" t="n"/>
      <c r="B18" s="20" t="inlineStr">
        <is>
          <t>7. Validar ao fim: zero FAILs em P0, cobertura &gt;= 95%, zero violacoes, suite automatizada verde (844 testes).</t>
        </is>
      </c>
    </row>
    <row r="19" ht="15" customHeight="1" s="18">
      <c r="A19" s="20" t="n"/>
      <c r="B19" s="20" t="n"/>
    </row>
    <row r="20" ht="15" customHeight="1" s="18">
      <c r="A20" s="22" t="inlineStr">
        <is>
          <t>CRITERIO DE RELEASE v3.39.8 (validar manualmente ao fim)</t>
        </is>
      </c>
    </row>
    <row r="21" ht="15" customHeight="1" s="18">
      <c r="A21" s="20" t="n"/>
      <c r="B21" s="20" t="inlineStr">
        <is>
          <t>[ ] 98/98 TCs com status PASS ou N/A justificado</t>
        </is>
      </c>
    </row>
    <row r="22" ht="15" customHeight="1" s="18">
      <c r="A22" s="20" t="n"/>
      <c r="B22" s="20" t="inlineStr">
        <is>
          <t>[ ] Zero FAILs em TCs de prioridade P0</t>
        </is>
      </c>
    </row>
    <row r="23" ht="15" customHeight="1" s="18">
      <c r="A23" s="20" t="n"/>
      <c r="B23" s="20" t="inlineStr">
        <is>
          <t>[ ] Zero violacoes invioláveis (aba Inviolaveis, 14 regras)</t>
        </is>
      </c>
    </row>
    <row r="24" ht="15" customHeight="1" s="18">
      <c r="A24" s="20" t="n"/>
      <c r="B24" s="20" t="inlineStr">
        <is>
          <t>[ ] Suite automatizada verde: npm test (844 testes) + npm run test:integration (26 testes)</t>
        </is>
      </c>
    </row>
    <row r="25" ht="15" customHeight="1" s="18">
      <c r="A25" s="20" t="n"/>
      <c r="B25" s="20" t="inlineStr">
        <is>
          <t>[ ] CHANGELOG.md reflete o que foi testado</t>
        </is>
      </c>
    </row>
    <row r="26" ht="15" customHeight="1" s="18">
      <c r="A26" s="20" t="n"/>
      <c r="B26" s="20" t="inlineStr">
        <is>
          <t>[ ] .auto-memory/project_mf_status.md atualizado com resumo da sessao de UAT</t>
        </is>
      </c>
    </row>
    <row r="27" ht="15" customHeight="1" s="18">
      <c r="A27" s="20" t="n"/>
      <c r="B27" s="20" t="inlineStr">
        <is>
          <t>[ ] Evidencias anexadas para FAILs (screenshot, log, link para issue)</t>
        </is>
      </c>
    </row>
    <row r="28" ht="15" customHeight="1" s="18">
      <c r="A28" s="20" t="n"/>
      <c r="B28" s="20" t="n"/>
    </row>
    <row r="29" ht="15" customHeight="1" s="18">
      <c r="A29" s="22" t="inlineStr">
        <is>
          <t>GRUPOS DE TCs</t>
        </is>
      </c>
    </row>
    <row r="30" ht="23.85" customHeight="1" s="18">
      <c r="A30" s="20" t="n"/>
      <c r="B30" s="20" t="inlineStr">
        <is>
          <t>Regressao v3.39.8 (Full): 85 TCs (37 regressao v3.38.0 + 48 novos v3.39.0-v3.39.8)</t>
        </is>
      </c>
    </row>
    <row r="31" ht="15" customHeight="1" s="18">
      <c r="A31" s="20" t="n"/>
      <c r="B31" s="20" t="inlineStr">
        <is>
          <t>Polimento Visual v3.40.0 — Empty States (ENH-007): 6 TCs (EMPTY)</t>
        </is>
      </c>
    </row>
    <row r="32" ht="15" customHeight="1" s="18">
      <c r="A32" s="20" t="n"/>
      <c r="B32" s="20" t="inlineStr">
        <is>
          <t>Polimento Visual v3.40.0 — Chart.js Tokens (RF-071): 3 TCs (CHART-05 a 07)</t>
        </is>
      </c>
    </row>
    <row r="33" ht="15" customHeight="1" s="18">
      <c r="A33" s="20" t="n"/>
      <c r="B33" s="20" t="inlineStr">
        <is>
          <t>Polimento Visual v3.40.0 — Cockpit Mobile &lt;414px (ENH-006): 4 TCs (COCKPIT)</t>
        </is>
      </c>
    </row>
    <row r="34" ht="15" customHeight="1" s="18">
      <c r="A34" s="20" t="n"/>
      <c r="B34" s="20" t="n"/>
    </row>
    <row r="35" ht="15" customHeight="1" s="18">
      <c r="A35" s="20" t="n"/>
      <c r="B35" s="20" t="n"/>
    </row>
    <row r="36" ht="15" customHeight="1" s="18">
      <c r="A36" s="20" t="n"/>
      <c r="B36" s="20" t="n"/>
    </row>
    <row r="37" ht="15" customHeight="1" s="18">
      <c r="A37" s="20" t="n"/>
      <c r="B37" s="20" t="n"/>
    </row>
    <row r="38" ht="15" customHeight="1" s="18">
      <c r="A38" s="20" t="n"/>
      <c r="B38" s="20" t="n"/>
    </row>
    <row r="39" ht="15" customHeight="1" s="18">
      <c r="A39" s="20" t="n"/>
      <c r="B39" s="20" t="n"/>
    </row>
  </sheetData>
  <mergeCells count="4">
    <mergeCell ref="A20:F20"/>
    <mergeCell ref="A11:F11"/>
    <mergeCell ref="A1:F1"/>
    <mergeCell ref="A29:F2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1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5" customWidth="1" style="17" min="1" max="1"/>
    <col width="15" customWidth="1" style="17" min="2" max="2"/>
    <col width="22" customWidth="1" style="17" min="3" max="3"/>
    <col width="10" customWidth="1" style="17" min="4" max="4"/>
    <col width="18" customWidth="1" style="17" min="5" max="5"/>
    <col width="16" customWidth="1" style="17" min="6" max="6"/>
    <col width="40" customWidth="1" style="17" min="7" max="7"/>
    <col width="60" customWidth="1" style="17" min="8" max="9"/>
    <col width="40" customWidth="1" style="17" min="10" max="10"/>
    <col width="14" customWidth="1" style="17" min="11" max="12"/>
    <col width="30" customWidth="1" style="17" min="13" max="13"/>
  </cols>
  <sheetData>
    <row r="1" ht="27.75" customHeight="1" s="18">
      <c r="A1" s="19" t="inlineStr">
        <is>
          <t>Casos de Teste v3.40.0 — Full UAT (98 TCs)</t>
        </is>
      </c>
    </row>
    <row r="2" ht="27.75" customHeight="1" s="18">
      <c r="A2" s="23" t="inlineStr">
        <is>
          <t>#</t>
        </is>
      </c>
      <c r="B2" s="23" t="inlineStr">
        <is>
          <t>Codigo</t>
        </is>
      </c>
      <c r="C2" s="23" t="inlineStr">
        <is>
          <t>Modulo</t>
        </is>
      </c>
      <c r="D2" s="23" t="inlineStr">
        <is>
          <t>Prioridade</t>
        </is>
      </c>
      <c r="E2" s="23" t="inlineStr">
        <is>
          <t>Categoria</t>
        </is>
      </c>
      <c r="F2" s="23" t="inlineStr">
        <is>
          <t>Origem</t>
        </is>
      </c>
      <c r="G2" s="23" t="inlineStr">
        <is>
          <t>Fluxo / Cenario</t>
        </is>
      </c>
      <c r="H2" s="23" t="inlineStr">
        <is>
          <t>Passos</t>
        </is>
      </c>
      <c r="I2" s="23" t="inlineStr">
        <is>
          <t>Resultado esperado</t>
        </is>
      </c>
      <c r="J2" s="23" t="inlineStr">
        <is>
          <t>Regra inviolavel / Referencia</t>
        </is>
      </c>
      <c r="K2" s="23" t="inlineStr">
        <is>
          <t>Status</t>
        </is>
      </c>
      <c r="L2" s="23" t="inlineStr">
        <is>
          <t>Executor</t>
        </is>
      </c>
      <c r="M2" s="23" t="inlineStr">
        <is>
          <t>Observacoes</t>
        </is>
      </c>
    </row>
    <row r="3" ht="45.75" customHeight="1" s="18">
      <c r="A3" s="24" t="n">
        <v>1</v>
      </c>
      <c r="B3" s="24" t="inlineStr">
        <is>
          <t>TC-AUTH-01</t>
        </is>
      </c>
      <c r="C3" s="24" t="inlineStr">
        <is>
          <t>Auth</t>
        </is>
      </c>
      <c r="D3" s="25" t="inlineStr">
        <is>
          <t>P0</t>
        </is>
      </c>
      <c r="E3" s="24" t="inlineStr">
        <is>
          <t>Smoke</t>
        </is>
      </c>
      <c r="F3" s="24" t="inlineStr">
        <is>
          <t>v3.38.0</t>
        </is>
      </c>
      <c r="G3" s="24" t="inlineStr">
        <is>
          <t>Login Luigi com email/senha</t>
        </is>
      </c>
      <c r="H3" s="24" t="inlineStr">
        <is>
          <t>1. Abrir /login.html
2. Preencher email e senha
3. Clicar em Entrar</t>
        </is>
      </c>
      <c r="I3" s="24" t="inlineStr">
        <is>
          <t>Redireciona para /dashboard.html; navbar exibe nome do usuario; sessao persiste em refresh</t>
        </is>
      </c>
      <c r="J3" s="24" t="inlineStr">
        <is>
          <t>CLAUDE.md - onAuthChange</t>
        </is>
      </c>
      <c r="K3" s="24" t="inlineStr">
        <is>
          <t>Nao iniciado</t>
        </is>
      </c>
      <c r="L3" s="24" t="n"/>
      <c r="M3" s="24" t="n"/>
    </row>
    <row r="4" ht="45" customHeight="1" s="18">
      <c r="A4" s="26" t="n">
        <v>2</v>
      </c>
      <c r="B4" s="26" t="inlineStr">
        <is>
          <t>TC-AUTH-02</t>
        </is>
      </c>
      <c r="C4" s="26" t="inlineStr">
        <is>
          <t>Auth</t>
        </is>
      </c>
      <c r="D4" s="26" t="inlineStr">
        <is>
          <t>P1</t>
        </is>
      </c>
      <c r="E4" s="26" t="inlineStr">
        <is>
          <t>Smoke</t>
        </is>
      </c>
      <c r="F4" s="26" t="inlineStr">
        <is>
          <t>v3.38.0</t>
        </is>
      </c>
      <c r="G4" s="26" t="inlineStr">
        <is>
          <t>Logout encerra sessao</t>
        </is>
      </c>
      <c r="H4" s="26" t="inlineStr">
        <is>
          <t>1. Com Luigi logado, clicar em Sair
2. Tentar acessar /despesas.html direto pela URL</t>
        </is>
      </c>
      <c r="I4" s="26" t="inlineStr">
        <is>
          <t>Redirect para /login.html; nao acessa rota autenticada</t>
        </is>
      </c>
      <c r="J4" s="26" t="inlineStr">
        <is>
          <t>src/js/services/auth.js</t>
        </is>
      </c>
      <c r="K4" s="26" t="inlineStr">
        <is>
          <t>Nao iniciado</t>
        </is>
      </c>
      <c r="L4" s="26" t="n"/>
      <c r="M4" s="26" t="n"/>
    </row>
    <row r="5" ht="45.75" customHeight="1" s="18">
      <c r="A5" s="24" t="n">
        <v>3</v>
      </c>
      <c r="B5" s="24" t="inlineStr">
        <is>
          <t>TC-NAV-01</t>
        </is>
      </c>
      <c r="C5" s="24" t="inlineStr">
        <is>
          <t>Navegacao</t>
        </is>
      </c>
      <c r="D5" s="25" t="inlineStr">
        <is>
          <t>P0</t>
        </is>
      </c>
      <c r="E5" s="24" t="inlineStr">
        <is>
          <t>Smoke</t>
        </is>
      </c>
      <c r="F5" s="24" t="inlineStr">
        <is>
          <t>v3.38.0</t>
        </is>
      </c>
      <c r="G5" s="24" t="inlineStr">
        <is>
          <t>Navbar 5 secoes expande Cockpit corretamente</t>
        </is>
      </c>
      <c r="H5" s="24" t="inlineStr">
        <is>
          <t>1. Abrir /dashboard.html
2. Observar secao Cockpit aberta com Dashboard + Planejamento
3. Clicar em outras secoes (Historico, Transacoes, Futuro, Config)</t>
        </is>
      </c>
      <c r="I5" s="24" t="inlineStr">
        <is>
          <t>Somente secao ativa fica aberta; sub-item ativo marcado; sem JS errors no console</t>
        </is>
      </c>
      <c r="J5" s="24" t="inlineStr">
        <is>
          <t>src/js/nav.js sectionMap</t>
        </is>
      </c>
      <c r="K5" s="24" t="inlineStr">
        <is>
          <t>Nao iniciado</t>
        </is>
      </c>
      <c r="L5" s="24" t="n"/>
      <c r="M5" s="24" t="n"/>
    </row>
    <row r="6" ht="45" customHeight="1" s="18">
      <c r="A6" s="26" t="n">
        <v>4</v>
      </c>
      <c r="B6" s="26" t="inlineStr">
        <is>
          <t>TC-NAV-02</t>
        </is>
      </c>
      <c r="C6" s="26" t="inlineStr">
        <is>
          <t>Navegacao</t>
        </is>
      </c>
      <c r="D6" s="26" t="inlineStr">
        <is>
          <t>P1</t>
        </is>
      </c>
      <c r="E6" s="26" t="inlineStr">
        <is>
          <t>Smoke</t>
        </is>
      </c>
      <c r="F6" s="26" t="inlineStr">
        <is>
          <t>v3.38.0</t>
        </is>
      </c>
      <c r="G6" s="26" t="inlineStr">
        <is>
          <t>Secao Transacoes contem 5 sub-itens</t>
        </is>
      </c>
      <c r="H6" s="26" t="inlineStr">
        <is>
          <t>1. Clicar em Transacoes
2. Verificar sub-itens: Importar, Fatura, Despesas, Receitas, Base</t>
        </is>
      </c>
      <c r="I6" s="26" t="inlineStr">
        <is>
          <t>5 sub-itens presentes e acessiveis</t>
        </is>
      </c>
      <c r="J6" s="26" t="inlineStr">
        <is>
          <t>src/js/nav.js sectionMap</t>
        </is>
      </c>
      <c r="K6" s="26" t="inlineStr">
        <is>
          <t>Nao iniciado</t>
        </is>
      </c>
      <c r="L6" s="26" t="n"/>
      <c r="M6" s="26" t="n"/>
    </row>
    <row r="7" ht="45" customHeight="1" s="18">
      <c r="A7" s="24" t="n">
        <v>5</v>
      </c>
      <c r="B7" s="24" t="inlineStr">
        <is>
          <t>TC-NAV-03</t>
        </is>
      </c>
      <c r="C7" s="24" t="inlineStr">
        <is>
          <t>Navegacao</t>
        </is>
      </c>
      <c r="D7" s="24" t="inlineStr">
        <is>
          <t>P1</t>
        </is>
      </c>
      <c r="E7" s="24" t="inlineStr">
        <is>
          <t>Critico</t>
        </is>
      </c>
      <c r="F7" s="24" t="inlineStr">
        <is>
          <t>v3.38.0</t>
        </is>
      </c>
      <c r="G7" s="24" t="inlineStr">
        <is>
          <t>Deep-link fatura?tab=projecoes ativa secao Futuro</t>
        </is>
      </c>
      <c r="H7" s="24" t="inlineStr">
        <is>
          <t>1. Acessar diretamente /fatura.html?tab=projecoes
2. Observar qual secao da navbar abre</t>
        </is>
      </c>
      <c r="I7" s="24" t="inlineStr">
        <is>
          <t>Secao Futuro aberta (nao Transacoes) + sub-item Fluxo de Caixa destacado</t>
        </is>
      </c>
      <c r="J7" s="24" t="inlineStr">
        <is>
          <t>nav.js linha branch especial tab=projecoes</t>
        </is>
      </c>
      <c r="K7" s="24" t="inlineStr">
        <is>
          <t>Nao iniciado</t>
        </is>
      </c>
      <c r="L7" s="24" t="n"/>
      <c r="M7" s="24" t="n"/>
    </row>
    <row r="8" ht="45.75" customHeight="1" s="18">
      <c r="A8" s="26" t="n">
        <v>6</v>
      </c>
      <c r="B8" s="26" t="inlineStr">
        <is>
          <t>TC-DASH-01</t>
        </is>
      </c>
      <c r="C8" s="26" t="inlineStr">
        <is>
          <t>Cockpit/Dashboard</t>
        </is>
      </c>
      <c r="D8" s="25" t="inlineStr">
        <is>
          <t>P0</t>
        </is>
      </c>
      <c r="E8" s="26" t="inlineStr">
        <is>
          <t>Smoke</t>
        </is>
      </c>
      <c r="F8" s="26" t="inlineStr">
        <is>
          <t>v3.38.0 (revisado)</t>
        </is>
      </c>
      <c r="G8" s="26" t="inlineStr">
        <is>
          <t>KPIs do mes carregam com hierarquia visual (cards hero + regulares)</t>
        </is>
      </c>
      <c r="H8" s="26" t="inlineStr">
        <is>
          <t>1. Abrir /dashboard.html
2. Verificar cards hero no topo (Saldo Real sempre; Proxima Fatura se &lt;=7 dias; Burn Rate se estouro &gt;10%)
3. Verificar cards regulares abaixo: Receitas, Despesas, Forecast 6 meses</t>
        </is>
      </c>
      <c r="I8" s="26" t="inlineStr">
        <is>
          <t>Todos os cards renderizam valores numericos; nenhum NaN/undefined; hierarquia visual clara (cards hero maiores/destacados)</t>
        </is>
      </c>
      <c r="J8" s="26" t="inlineStr">
        <is>
          <t>src/js/pages/index.js + forecastEngine + NRF-VISUAL F1 (v3.39.0)</t>
        </is>
      </c>
      <c r="K8" s="26" t="inlineStr">
        <is>
          <t>Nao iniciado</t>
        </is>
      </c>
      <c r="L8" s="26" t="n"/>
      <c r="M8" s="26" t="n"/>
    </row>
    <row r="9" ht="45" customHeight="1" s="18">
      <c r="A9" s="24" t="n">
        <v>7</v>
      </c>
      <c r="B9" s="24" t="inlineStr">
        <is>
          <t>TC-DASH-02</t>
        </is>
      </c>
      <c r="C9" s="24" t="inlineStr">
        <is>
          <t>Cockpit/Dashboard</t>
        </is>
      </c>
      <c r="D9" s="24" t="inlineStr">
        <is>
          <t>P1</t>
        </is>
      </c>
      <c r="E9" s="24" t="inlineStr">
        <is>
          <t>Critico</t>
        </is>
      </c>
      <c r="F9" s="24" t="inlineStr">
        <is>
          <t>v3.38.0</t>
        </is>
      </c>
      <c r="G9" s="24" t="inlineStr">
        <is>
          <t>Saldo Real por conta reflete contas ativas</t>
        </is>
      </c>
      <c r="H9" s="24" t="inlineStr">
        <is>
          <t>1. Em Dashboard, observar card Saldo Real
2. Conferir que soma bate com total em Contas</t>
        </is>
      </c>
      <c r="I9" s="24" t="inlineStr">
        <is>
          <t>Saldo agregado = soma dos saldos de contas com ativa=true</t>
        </is>
      </c>
      <c r="J9" s="24" t="inlineStr">
        <is>
          <t>saldoRealPorConta.js + RF-068</t>
        </is>
      </c>
      <c r="K9" s="24" t="inlineStr">
        <is>
          <t>Nao iniciado</t>
        </is>
      </c>
      <c r="L9" s="24" t="n"/>
      <c r="M9" s="24" t="n"/>
    </row>
    <row r="10" ht="45" customHeight="1" s="18">
      <c r="A10" s="26" t="n">
        <v>8</v>
      </c>
      <c r="B10" s="26" t="inlineStr">
        <is>
          <t>TC-PLAN-01</t>
        </is>
      </c>
      <c r="C10" s="26" t="inlineStr">
        <is>
          <t>Cockpit/Planejamento</t>
        </is>
      </c>
      <c r="D10" s="26" t="inlineStr">
        <is>
          <t>P1</t>
        </is>
      </c>
      <c r="E10" s="26" t="inlineStr">
        <is>
          <t>Smoke</t>
        </is>
      </c>
      <c r="F10" s="26" t="inlineStr">
        <is>
          <t>v3.38.0</t>
        </is>
      </c>
      <c r="G10" s="26" t="inlineStr">
        <is>
          <t>Planejamento carrega dentro do Cockpit</t>
        </is>
      </c>
      <c r="H10" s="26" t="inlineStr">
        <is>
          <t>1. Navbar Cockpit &gt; Planejamento
2. Verificar grid de planejamento mensal carrega itens do grupo</t>
        </is>
      </c>
      <c r="I10" s="26" t="inlineStr">
        <is>
          <t>Pagina carrega sem erros; itens exibidos por categoria/mes; espacamento usa tokens --rhythm-*</t>
        </is>
      </c>
      <c r="J10" s="26" t="inlineStr">
        <is>
          <t>src/js/pages/planejamento.js + NRF-UX F6 (v3.39.5)</t>
        </is>
      </c>
      <c r="K10" s="26" t="inlineStr">
        <is>
          <t>Nao iniciado</t>
        </is>
      </c>
      <c r="L10" s="26" t="n"/>
      <c r="M10" s="26" t="n"/>
    </row>
    <row r="11" ht="45.75" customHeight="1" s="18">
      <c r="A11" s="24" t="n">
        <v>9</v>
      </c>
      <c r="B11" s="24" t="inlineStr">
        <is>
          <t>TC-FLUXO-01</t>
        </is>
      </c>
      <c r="C11" s="24" t="inlineStr">
        <is>
          <t>Futuro/FluxoCaixa</t>
        </is>
      </c>
      <c r="D11" s="25" t="inlineStr">
        <is>
          <t>P0</t>
        </is>
      </c>
      <c r="E11" s="24" t="inlineStr">
        <is>
          <t>Critico</t>
        </is>
      </c>
      <c r="F11" s="24" t="inlineStr">
        <is>
          <t>v3.38.0</t>
        </is>
      </c>
      <c r="G11" s="24" t="inlineStr">
        <is>
          <t>Compromissos — parcelas agregadas dos cartoes</t>
        </is>
      </c>
      <c r="H11" s="24" t="inlineStr">
        <is>
          <t>1. Navbar Futuro &gt; Fluxo de Caixa
2. Scroll ate secao Compromissos Comprometidos (6 meses)
3. Verificar agrupamento por mesFatura</t>
        </is>
      </c>
      <c r="I11" s="24" t="inlineStr">
        <is>
          <t>Projecoes de todos os cartoes aparecem agregadas por mes; valores batem com aba Projecoes de cada cartao em /fatura.html</t>
        </is>
      </c>
      <c r="J11" s="24" t="inlineStr">
        <is>
          <t>projecoesCartao.buscarProjecoesAgregadas + RF-063</t>
        </is>
      </c>
      <c r="K11" s="24" t="inlineStr">
        <is>
          <t>Nao iniciado</t>
        </is>
      </c>
      <c r="L11" s="24" t="n"/>
      <c r="M11" s="24" t="n"/>
    </row>
    <row r="12" ht="45.75" customHeight="1" s="18">
      <c r="A12" s="26" t="n">
        <v>10</v>
      </c>
      <c r="B12" s="26" t="inlineStr">
        <is>
          <t>TC-FLUXO-02</t>
        </is>
      </c>
      <c r="C12" s="26" t="inlineStr">
        <is>
          <t>Futuro/FluxoCaixa</t>
        </is>
      </c>
      <c r="D12" s="26" t="inlineStr">
        <is>
          <t>P2</t>
        </is>
      </c>
      <c r="E12" s="26" t="inlineStr">
        <is>
          <t>Critico</t>
        </is>
      </c>
      <c r="F12" s="26" t="inlineStr">
        <is>
          <t>v3.38.0</t>
        </is>
      </c>
      <c r="G12" s="26" t="inlineStr">
        <is>
          <t>Link cross-page fatura -&gt; fluxo-caixa#compromissos</t>
        </is>
      </c>
      <c r="H12" s="26" t="inlineStr">
        <is>
          <t>1. Abrir /fatura.html aba Projecoes
2. Clicar no link 'ver todos os cartoes consolidados em Futuro'
3. Verificar que ancora #compromissos e ativada</t>
        </is>
      </c>
      <c r="I12" s="26" t="inlineStr">
        <is>
          <t>URL destino /fluxo-caixa.html#compromissos; scroll chega na secao correta</t>
        </is>
      </c>
      <c r="J12" s="26" t="inlineStr">
        <is>
          <t>fatura.html + fluxo-caixa.html#compromissos</t>
        </is>
      </c>
      <c r="K12" s="26" t="inlineStr">
        <is>
          <t>Nao iniciado</t>
        </is>
      </c>
      <c r="L12" s="26" t="n"/>
      <c r="M12" s="26" t="n"/>
    </row>
    <row r="13" ht="45" customHeight="1" s="18">
      <c r="A13" s="24" t="n">
        <v>11</v>
      </c>
      <c r="B13" s="24" t="inlineStr">
        <is>
          <t>TC-FLUXO-03</t>
        </is>
      </c>
      <c r="C13" s="24" t="inlineStr">
        <is>
          <t>Futuro/FluxoCaixa</t>
        </is>
      </c>
      <c r="D13" s="24" t="inlineStr">
        <is>
          <t>P1</t>
        </is>
      </c>
      <c r="E13" s="24" t="inlineStr">
        <is>
          <t>Smoke</t>
        </is>
      </c>
      <c r="F13" s="24" t="inlineStr">
        <is>
          <t>v3.38.0</t>
        </is>
      </c>
      <c r="G13" s="24" t="inlineStr">
        <is>
          <t>Forecast 6 meses renderiza</t>
        </is>
      </c>
      <c r="H13" s="24" t="inlineStr">
        <is>
          <t>1. Em Fluxo de Caixa, observar card Forecast
2. Verificar 6 barras (mes atual + 5 futuros)</t>
        </is>
      </c>
      <c r="I13" s="24" t="inlineStr">
        <is>
          <t>Grafico Chart.js renderiza; tooltips mostram valores; cores alinhadas ao DS; tipografia via tokens</t>
        </is>
      </c>
      <c r="J13" s="24" t="inlineStr">
        <is>
          <t>forecastEngine.js + RF-067 + NRF-UX F7</t>
        </is>
      </c>
      <c r="K13" s="24" t="inlineStr">
        <is>
          <t>Nao iniciado</t>
        </is>
      </c>
      <c r="L13" s="24" t="n"/>
      <c r="M13" s="24" t="n"/>
    </row>
    <row r="14" ht="45.75" customHeight="1" s="18">
      <c r="A14" s="26" t="n">
        <v>12</v>
      </c>
      <c r="B14" s="26" t="inlineStr">
        <is>
          <t>TC-PAT-01</t>
        </is>
      </c>
      <c r="C14" s="26" t="inlineStr">
        <is>
          <t>Historico/Patrimonio</t>
        </is>
      </c>
      <c r="D14" s="26" t="inlineStr">
        <is>
          <t>P1</t>
        </is>
      </c>
      <c r="E14" s="26" t="inlineStr">
        <is>
          <t>Smoke</t>
        </is>
      </c>
      <c r="F14" s="26" t="inlineStr">
        <is>
          <t>v3.38.0</t>
        </is>
      </c>
      <c r="G14" s="26" t="inlineStr">
        <is>
          <t>Net Worth agregado de ativos e passivos</t>
        </is>
      </c>
      <c r="H14" s="26" t="inlineStr">
        <is>
          <t>1. Navbar Historico &gt; Patrimonio
2. Cadastrar/verificar ativos (investimentos, imoveis) e passivos (extrajudiciais)
3. Observar card Net Worth</t>
        </is>
      </c>
      <c r="I14" s="26" t="inlineStr">
        <is>
          <t>Net Worth = soma ativos - soma passivos; valor positivo ou negativo correto</t>
        </is>
      </c>
      <c r="J14" s="26" t="inlineStr">
        <is>
          <t>patrimonio.js + Investimento + PassivoExtrajudicial</t>
        </is>
      </c>
      <c r="K14" s="26" t="inlineStr">
        <is>
          <t>Nao iniciado</t>
        </is>
      </c>
      <c r="L14" s="26" t="n"/>
      <c r="M14" s="26" t="n"/>
    </row>
    <row r="15" ht="45" customHeight="1" s="18">
      <c r="A15" s="24" t="n">
        <v>13</v>
      </c>
      <c r="B15" s="24" t="inlineStr">
        <is>
          <t>TC-PAT-02</t>
        </is>
      </c>
      <c r="C15" s="24" t="inlineStr">
        <is>
          <t>Historico/Patrimonio</t>
        </is>
      </c>
      <c r="D15" s="24" t="inlineStr">
        <is>
          <t>P2</t>
        </is>
      </c>
      <c r="E15" s="24" t="inlineStr">
        <is>
          <t>Smoke</t>
        </is>
      </c>
      <c r="F15" s="24" t="inlineStr">
        <is>
          <t>v3.38.0</t>
        </is>
      </c>
      <c r="G15" s="24" t="inlineStr">
        <is>
          <t>Grafico de evolucao patrimonial renderiza</t>
        </is>
      </c>
      <c r="H15" s="24" t="inlineStr">
        <is>
          <t>1. Em Patrimonio, observar grafico de evolucao mensal</t>
        </is>
      </c>
      <c r="I15" s="24" t="inlineStr">
        <is>
          <t>Chart renderiza; sem NaN nas series; legenda usa tokens DS</t>
        </is>
      </c>
      <c r="J15" s="24" t="inlineStr">
        <is>
          <t>RF-066 PR #178</t>
        </is>
      </c>
      <c r="K15" s="24" t="inlineStr">
        <is>
          <t>Nao iniciado</t>
        </is>
      </c>
      <c r="L15" s="24" t="n"/>
      <c r="M15" s="24" t="n"/>
    </row>
    <row r="16" ht="45.75" customHeight="1" s="18">
      <c r="A16" s="26" t="n">
        <v>14</v>
      </c>
      <c r="B16" s="26" t="inlineStr">
        <is>
          <t>TC-DESP-01</t>
        </is>
      </c>
      <c r="C16" s="26" t="inlineStr">
        <is>
          <t>Transacoes/Despesas</t>
        </is>
      </c>
      <c r="D16" s="25" t="inlineStr">
        <is>
          <t>P0</t>
        </is>
      </c>
      <c r="E16" s="26" t="inlineStr">
        <is>
          <t>Critico</t>
        </is>
      </c>
      <c r="F16" s="26" t="inlineStr">
        <is>
          <t>v3.38.0 (revisado)</t>
        </is>
      </c>
      <c r="G16" s="26" t="inlineStr">
        <is>
          <t>Header reduzido + listagem com iconografia Lucide</t>
        </is>
      </c>
      <c r="H16" s="26" t="inlineStr">
        <is>
          <t>1. Navbar Transacoes &gt; Despesas
2. Inspecionar topo da pagina
3. Observar icones nos botoes e chips</t>
        </is>
      </c>
      <c r="I16" s="26" t="inlineStr">
        <is>
          <t>Header exibe APENAS: Total do Mes + Contagem. Icones sao Lucide (nao emojis). Sem widget Parcelamentos em Aberto</t>
        </is>
      </c>
      <c r="J16" s="26" t="inlineStr">
        <is>
          <t>ENH-005 PR #190 + NRF-UX F3 (v3.39.2)</t>
        </is>
      </c>
      <c r="K16" s="26" t="inlineStr">
        <is>
          <t>Nao iniciado</t>
        </is>
      </c>
      <c r="L16" s="26" t="n"/>
      <c r="M16" s="26" t="n"/>
    </row>
    <row r="17" ht="45" customHeight="1" s="18">
      <c r="A17" s="24" t="n">
        <v>15</v>
      </c>
      <c r="B17" s="24" t="inlineStr">
        <is>
          <t>TC-DESP-02</t>
        </is>
      </c>
      <c r="C17" s="24" t="inlineStr">
        <is>
          <t>Transacoes/Despesas</t>
        </is>
      </c>
      <c r="D17" s="24" t="inlineStr">
        <is>
          <t>P1</t>
        </is>
      </c>
      <c r="E17" s="24" t="inlineStr">
        <is>
          <t>Critico</t>
        </is>
      </c>
      <c r="F17" s="24" t="inlineStr">
        <is>
          <t>v3.38.0</t>
        </is>
      </c>
      <c r="G17" s="24" t="inlineStr">
        <is>
          <t>Listagem usa progressive disclosure (ENH-004)</t>
        </is>
      </c>
      <c r="H17" s="24" t="inlineStr">
        <is>
          <t>1. Em Despesas, observar linhas da listagem
2. Identificar linha com multiplos metadados (ex: despesa conjunta parcelada)</t>
        </is>
      </c>
      <c r="I17" s="24" t="inlineStr">
        <is>
          <t>Linha compacta mostra 1 badge (hierarquia: transferencia &gt; projecao &gt; parcela &gt; conjunta &gt; portador). Toggle &gt; aparece quando ha &gt;1 metadado</t>
        </is>
      </c>
      <c r="J17" s="24" t="inlineStr">
        <is>
          <t>ENH-004 PR #185</t>
        </is>
      </c>
      <c r="K17" s="24" t="inlineStr">
        <is>
          <t>Nao iniciado</t>
        </is>
      </c>
      <c r="L17" s="24" t="n"/>
      <c r="M17" s="24" t="n"/>
    </row>
    <row r="18" ht="45.75" customHeight="1" s="18">
      <c r="A18" s="26" t="n">
        <v>16</v>
      </c>
      <c r="B18" s="26" t="inlineStr">
        <is>
          <t>TC-DESP-03</t>
        </is>
      </c>
      <c r="C18" s="26" t="inlineStr">
        <is>
          <t>Transacoes/Despesas</t>
        </is>
      </c>
      <c r="D18" s="26" t="inlineStr">
        <is>
          <t>P1</t>
        </is>
      </c>
      <c r="E18" s="26" t="inlineStr">
        <is>
          <t>Critico</t>
        </is>
      </c>
      <c r="F18" s="26" t="inlineStr">
        <is>
          <t>v3.38.0</t>
        </is>
      </c>
      <c r="G18" s="26" t="inlineStr">
        <is>
          <t>Expandir &gt; revela todos os badges</t>
        </is>
      </c>
      <c r="H18" s="26" t="inlineStr">
        <is>
          <t>1. Clicar no toggle &gt; de uma linha
2. Verificar que o &lt;details&gt; abre
3. Testar Tab + Enter no teclado</t>
        </is>
      </c>
      <c r="I18" s="26" t="inlineStr">
        <is>
          <t>Todos os badges aparecem (conta, portador, parcela, projecao, conjunta, transferencia). Acessivel por teclado</t>
        </is>
      </c>
      <c r="J18" s="26" t="inlineStr">
        <is>
          <t>despesas.js listagem</t>
        </is>
      </c>
      <c r="K18" s="26" t="inlineStr">
        <is>
          <t>Nao iniciado</t>
        </is>
      </c>
      <c r="L18" s="26" t="n"/>
      <c r="M18" s="26" t="n"/>
    </row>
    <row r="19" ht="45.75" customHeight="1" s="18">
      <c r="A19" s="24" t="n">
        <v>17</v>
      </c>
      <c r="B19" s="24" t="inlineStr">
        <is>
          <t>TC-DESP-04</t>
        </is>
      </c>
      <c r="C19" s="24" t="inlineStr">
        <is>
          <t>Transacoes/Despesas</t>
        </is>
      </c>
      <c r="D19" s="25" t="inlineStr">
        <is>
          <t>P0</t>
        </is>
      </c>
      <c r="E19" s="24" t="inlineStr">
        <is>
          <t>Critico</t>
        </is>
      </c>
      <c r="F19" s="24" t="inlineStr">
        <is>
          <t>v3.38.0</t>
        </is>
      </c>
      <c r="G19" s="24" t="inlineStr">
        <is>
          <t>CRUD de despesa manual preserva mesFatura + chave_dedup</t>
        </is>
      </c>
      <c r="H19" s="24" t="inlineStr">
        <is>
          <t>1. Criar despesa de cartao manual
2. Abrir DevTools &gt; Firestore emulator ou inspecionar via database.js
3. Verificar chave_dedup formato manual||... e mesFatura=YYYY-MM</t>
        </is>
      </c>
      <c r="I19" s="24" t="inlineStr">
        <is>
          <t>Campos corretos; sem undefined; sem null onde deveria ter valor</t>
        </is>
      </c>
      <c r="J19" s="24" t="inlineStr">
        <is>
          <t>CLAUDE.md - chave_dedup + mesFatura + BUG-021/022/026/032</t>
        </is>
      </c>
      <c r="K19" s="24" t="inlineStr">
        <is>
          <t>Nao iniciado</t>
        </is>
      </c>
      <c r="L19" s="24" t="n"/>
      <c r="M19" s="24" t="n"/>
    </row>
    <row r="20" ht="45" customHeight="1" s="18">
      <c r="A20" s="26" t="n">
        <v>18</v>
      </c>
      <c r="B20" s="26" t="inlineStr">
        <is>
          <t>TC-REC-01</t>
        </is>
      </c>
      <c r="C20" s="26" t="inlineStr">
        <is>
          <t>Transacoes/Receitas</t>
        </is>
      </c>
      <c r="D20" s="26" t="inlineStr">
        <is>
          <t>P1</t>
        </is>
      </c>
      <c r="E20" s="26" t="inlineStr">
        <is>
          <t>Smoke</t>
        </is>
      </c>
      <c r="F20" s="26" t="inlineStr">
        <is>
          <t>v3.38.0</t>
        </is>
      </c>
      <c r="G20" s="26" t="inlineStr">
        <is>
          <t>CRUD basico de receita</t>
        </is>
      </c>
      <c r="H20" s="26" t="inlineStr">
        <is>
          <t>1. Navbar Transacoes &gt; Receitas
2. Criar, editar e excluir uma receita de teste</t>
        </is>
      </c>
      <c r="I20" s="26" t="inlineStr">
        <is>
          <t>Operacoes persistem no Firestore; listagem atualiza em tempo real via onSnapshot; feedback via toast (nao alert)</t>
        </is>
      </c>
      <c r="J20" s="26" t="inlineStr">
        <is>
          <t>receitas.js + database.js + NRF-UX F8</t>
        </is>
      </c>
      <c r="K20" s="26" t="inlineStr">
        <is>
          <t>Nao iniciado</t>
        </is>
      </c>
      <c r="L20" s="26" t="n"/>
      <c r="M20" s="26" t="n"/>
    </row>
    <row r="21" ht="45.75" customHeight="1" s="18">
      <c r="A21" s="24" t="n">
        <v>19</v>
      </c>
      <c r="B21" s="24" t="inlineStr">
        <is>
          <t>TC-REC-02</t>
        </is>
      </c>
      <c r="C21" s="24" t="inlineStr">
        <is>
          <t>Transacoes/Receitas</t>
        </is>
      </c>
      <c r="D21" s="24" t="inlineStr">
        <is>
          <t>P2</t>
        </is>
      </c>
      <c r="E21" s="24" t="inlineStr">
        <is>
          <t>Smoke</t>
        </is>
      </c>
      <c r="F21" s="24" t="inlineStr">
        <is>
          <t>v3.38.0</t>
        </is>
      </c>
      <c r="G21" s="24" t="inlineStr">
        <is>
          <t>Receita recorrente gera projecao futura</t>
        </is>
      </c>
      <c r="H21" s="24" t="inlineStr">
        <is>
          <t>1. Criar receita com recorrencia mensal
2. Abrir Fluxo de Caixa
3. Observar se aparece nos proximos meses</t>
        </is>
      </c>
      <c r="I21" s="24" t="inlineStr">
        <is>
          <t>Projecao aparece com tipo correto; nao duplica no mes de criacao</t>
        </is>
      </c>
      <c r="J21" s="24" t="inlineStr">
        <is>
          <t>recurringDetector.js</t>
        </is>
      </c>
      <c r="K21" s="24" t="inlineStr">
        <is>
          <t>Nao iniciado</t>
        </is>
      </c>
      <c r="L21" s="24" t="n"/>
      <c r="M21" s="24" t="n"/>
    </row>
    <row r="22" ht="45.75" customHeight="1" s="18">
      <c r="A22" s="26" t="n">
        <v>20</v>
      </c>
      <c r="B22" s="26" t="inlineStr">
        <is>
          <t>TC-FAT-01</t>
        </is>
      </c>
      <c r="C22" s="26" t="inlineStr">
        <is>
          <t>Transacoes/Fatura</t>
        </is>
      </c>
      <c r="D22" s="26" t="inlineStr">
        <is>
          <t>P1</t>
        </is>
      </c>
      <c r="E22" s="26" t="inlineStr">
        <is>
          <t>Critico</t>
        </is>
      </c>
      <c r="F22" s="26" t="inlineStr">
        <is>
          <t>v3.38.0 (revisado)</t>
        </is>
      </c>
      <c r="G22" s="26" t="inlineStr">
        <is>
          <t>Aba Projecoes com skeleton durante carregamento</t>
        </is>
      </c>
      <c r="H22" s="26" t="inlineStr">
        <is>
          <t>1. Navbar Transacoes &gt; Fatura
2. Selecionar cartao e mes (observar skeleton)
3. Abrir aba Projecoes</t>
        </is>
      </c>
      <c r="I22" s="26" t="inlineStr">
        <is>
          <t>Skeleton shimmer aparece durante fetch; depois parcelas futuras listadas com valores por parcela X/Y corretos; filtro por mesFatura</t>
        </is>
      </c>
      <c r="J22" s="26" t="inlineStr">
        <is>
          <t>projecoesCartao.iniciar (modo listener) + NRF-UX F5 (v3.39.4)</t>
        </is>
      </c>
      <c r="K22" s="26" t="inlineStr">
        <is>
          <t>Nao iniciado</t>
        </is>
      </c>
      <c r="L22" s="26" t="n"/>
      <c r="M22" s="26" t="n"/>
    </row>
    <row r="23" ht="45.75" customHeight="1" s="18">
      <c r="A23" s="24" t="n">
        <v>21</v>
      </c>
      <c r="B23" s="24" t="inlineStr">
        <is>
          <t>TC-FAT-02</t>
        </is>
      </c>
      <c r="C23" s="24" t="inlineStr">
        <is>
          <t>Transacoes/Fatura</t>
        </is>
      </c>
      <c r="D23" s="25" t="inlineStr">
        <is>
          <t>P0</t>
        </is>
      </c>
      <c r="E23" s="24" t="inlineStr">
        <is>
          <t>Critico</t>
        </is>
      </c>
      <c r="F23" s="24" t="inlineStr">
        <is>
          <t>v3.38.0</t>
        </is>
      </c>
      <c r="G23" s="24" t="inlineStr">
        <is>
          <t>Reconciliacao fatura vs extrato (RF-062/063/064)</t>
        </is>
      </c>
      <c r="H23" s="24" t="inlineStr">
        <is>
          <t>1. Importar fatura do cartao
2. Abrir aba Reconciliacao
3. Verificar match exato + fuzzy + ajustes marketplace</t>
        </is>
      </c>
      <c r="I23" s="24" t="inlineStr">
        <is>
          <t>Matches exatos destacados; fuzzy com highlight amber; ajustes marketplace sugerem reconciliacao</t>
        </is>
      </c>
      <c r="J23" s="24" t="inlineStr">
        <is>
          <t>reconciliadorFatura.js + ajusteDetector.js</t>
        </is>
      </c>
      <c r="K23" s="24" t="inlineStr">
        <is>
          <t>Nao iniciado</t>
        </is>
      </c>
      <c r="L23" s="24" t="n"/>
      <c r="M23" s="24" t="n"/>
    </row>
    <row r="24" ht="45" customHeight="1" s="18">
      <c r="A24" s="26" t="n">
        <v>22</v>
      </c>
      <c r="B24" s="26" t="inlineStr">
        <is>
          <t>TC-FAT-03</t>
        </is>
      </c>
      <c r="C24" s="26" t="inlineStr">
        <is>
          <t>Transacoes/Fatura</t>
        </is>
      </c>
      <c r="D24" s="26" t="inlineStr">
        <is>
          <t>P1</t>
        </is>
      </c>
      <c r="E24" s="26" t="inlineStr">
        <is>
          <t>Smoke</t>
        </is>
      </c>
      <c r="F24" s="26" t="inlineStr">
        <is>
          <t>v3.38.0</t>
        </is>
      </c>
      <c r="G24" s="26" t="inlineStr">
        <is>
          <t>Pagamento de fatura gera tipo pagamento_fatura</t>
        </is>
      </c>
      <c r="H24" s="26" t="inlineStr">
        <is>
          <t>1. Em fatura, executar pagamento (baixa)
2. Verificar despesa gerada tem tipo=pagamento_fatura</t>
        </is>
      </c>
      <c r="I24" s="26" t="inlineStr">
        <is>
          <t>Campo tipo correto; despesa nao duplica no total do mes; mesFatura preservado</t>
        </is>
      </c>
      <c r="J24" s="26" t="inlineStr">
        <is>
          <t>fatura.js + CLAUDE.md tipos de despesa</t>
        </is>
      </c>
      <c r="K24" s="26" t="inlineStr">
        <is>
          <t>Nao iniciado</t>
        </is>
      </c>
      <c r="L24" s="26" t="n"/>
      <c r="M24" s="26" t="n"/>
    </row>
    <row r="25" ht="45.75" customHeight="1" s="18">
      <c r="A25" s="24" t="n">
        <v>23</v>
      </c>
      <c r="B25" s="24" t="inlineStr">
        <is>
          <t>TC-IMP-01</t>
        </is>
      </c>
      <c r="C25" s="24" t="inlineStr">
        <is>
          <t>Transacoes/Importar</t>
        </is>
      </c>
      <c r="D25" s="25" t="inlineStr">
        <is>
          <t>P0</t>
        </is>
      </c>
      <c r="E25" s="24" t="inlineStr">
        <is>
          <t>Critico</t>
        </is>
      </c>
      <c r="F25" s="24" t="inlineStr">
        <is>
          <t>v3.38.0</t>
        </is>
      </c>
      <c r="G25" s="24" t="inlineStr">
        <is>
          <t>Import CSV banco — dedup funciona</t>
        </is>
      </c>
      <c r="H25" s="24" t="inlineStr">
        <is>
          <t>1. Navbar Transacoes &gt; Importar
2. Upload CSV de banco conhecido (ex: Itau, Nubank)
3. Re-upload do MESMO arquivo</t>
        </is>
      </c>
      <c r="I25" s="24" t="inlineStr">
        <is>
          <t>Primeira importacao: linhas novas criadas com chave_dedup. Segunda: 0 linhas duplicadas criadas; dedup via buscarChavesDedup</t>
        </is>
      </c>
      <c r="J25" s="24" t="inlineStr">
        <is>
          <t>deduplicador.js + chave_dedup (REGRA INVIOLAVEL 1)</t>
        </is>
      </c>
      <c r="K25" s="24" t="inlineStr">
        <is>
          <t>Nao iniciado</t>
        </is>
      </c>
      <c r="L25" s="24" t="n"/>
      <c r="M25" s="24" t="n"/>
    </row>
    <row r="26" ht="45.75" customHeight="1" s="18">
      <c r="A26" s="26" t="n">
        <v>24</v>
      </c>
      <c r="B26" s="26" t="inlineStr">
        <is>
          <t>TC-IMP-02</t>
        </is>
      </c>
      <c r="C26" s="26" t="inlineStr">
        <is>
          <t>Transacoes/Importar</t>
        </is>
      </c>
      <c r="D26" s="25" t="inlineStr">
        <is>
          <t>P0</t>
        </is>
      </c>
      <c r="E26" s="26" t="inlineStr">
        <is>
          <t>Critico</t>
        </is>
      </c>
      <c r="F26" s="26" t="inlineStr">
        <is>
          <t>v3.38.0</t>
        </is>
      </c>
      <c r="G26" s="26" t="inlineStr">
        <is>
          <t>Import PDF fatura — mesFatura propagado</t>
        </is>
      </c>
      <c r="H26" s="26" t="inlineStr">
        <is>
          <t>1. Upload PDF de fatura de cartao
2. Confirmar importacao
3. Abrir Firestore e inspecionar docs criados</t>
        </is>
      </c>
      <c r="I26" s="26" t="inlineStr">
        <is>
          <t>Todas as despesas do lote tem mesFatura=YYYY-MM identico; nenhuma sem mesFatura</t>
        </is>
      </c>
      <c r="J26" s="26" t="inlineStr">
        <is>
          <t>pdfParser + pipelineCartao + BUG-021/022/026/032</t>
        </is>
      </c>
      <c r="K26" s="26" t="inlineStr">
        <is>
          <t>Nao iniciado</t>
        </is>
      </c>
      <c r="L26" s="26" t="n"/>
      <c r="M26" s="26" t="n"/>
    </row>
    <row r="27" ht="45" customHeight="1" s="18">
      <c r="A27" s="24" t="n">
        <v>25</v>
      </c>
      <c r="B27" s="24" t="inlineStr">
        <is>
          <t>TC-IMP-03</t>
        </is>
      </c>
      <c r="C27" s="24" t="inlineStr">
        <is>
          <t>Transacoes/Importar</t>
        </is>
      </c>
      <c r="D27" s="24" t="inlineStr">
        <is>
          <t>P1</t>
        </is>
      </c>
      <c r="E27" s="24" t="inlineStr">
        <is>
          <t>Critico</t>
        </is>
      </c>
      <c r="F27" s="24" t="inlineStr">
        <is>
          <t>v3.38.0</t>
        </is>
      </c>
      <c r="G27" s="24" t="inlineStr">
        <is>
          <t>Detector de transferencia interna</t>
        </is>
      </c>
      <c r="H27" s="24" t="inlineStr">
        <is>
          <t>1. Importar extrato com TED entre contas Luigi e Ana
2. Verificar que saida e entrada sao pareadas</t>
        </is>
      </c>
      <c r="I27" s="24" t="inlineStr">
        <is>
          <t>tipo=transferencia_interna em ambos; nao infla despesas nem receitas do mes</t>
        </is>
      </c>
      <c r="J27" s="24" t="inlineStr">
        <is>
          <t>detectorTransferenciaInterna.js</t>
        </is>
      </c>
      <c r="K27" s="24" t="inlineStr">
        <is>
          <t>Nao iniciado</t>
        </is>
      </c>
      <c r="L27" s="24" t="n"/>
      <c r="M27" s="24" t="n"/>
    </row>
    <row r="28" ht="45" customHeight="1" s="18">
      <c r="A28" s="26" t="n">
        <v>26</v>
      </c>
      <c r="B28" s="26" t="inlineStr">
        <is>
          <t>TC-BASE-01</t>
        </is>
      </c>
      <c r="C28" s="26" t="inlineStr">
        <is>
          <t>Transacoes/Base</t>
        </is>
      </c>
      <c r="D28" s="26" t="inlineStr">
        <is>
          <t>P2</t>
        </is>
      </c>
      <c r="E28" s="26" t="inlineStr">
        <is>
          <t>Smoke</t>
        </is>
      </c>
      <c r="F28" s="26" t="inlineStr">
        <is>
          <t>v3.38.0</t>
        </is>
      </c>
      <c r="G28" s="26" t="inlineStr">
        <is>
          <t>Listagem consolidada com filtros</t>
        </is>
      </c>
      <c r="H28" s="26" t="inlineStr">
        <is>
          <t>1. Navbar Transacoes &gt; Base
2. Aplicar filtros por tipo, periodo, responsavel</t>
        </is>
      </c>
      <c r="I28" s="26" t="inlineStr">
        <is>
          <t>Listagem responde aos filtros; paginacao funciona; exportacao XLSX (se presente)</t>
        </is>
      </c>
      <c r="J28" s="26" t="inlineStr">
        <is>
          <t>base-dados.js</t>
        </is>
      </c>
      <c r="K28" s="26" t="inlineStr">
        <is>
          <t>Nao iniciado</t>
        </is>
      </c>
      <c r="L28" s="26" t="n"/>
      <c r="M28" s="26" t="n"/>
    </row>
    <row r="29" ht="45.75" customHeight="1" s="18">
      <c r="A29" s="24" t="n">
        <v>27</v>
      </c>
      <c r="B29" s="24" t="inlineStr">
        <is>
          <t>TC-CAT-01</t>
        </is>
      </c>
      <c r="C29" s="24" t="inlineStr">
        <is>
          <t>Config/Categorias</t>
        </is>
      </c>
      <c r="D29" s="24" t="inlineStr">
        <is>
          <t>P2</t>
        </is>
      </c>
      <c r="E29" s="24" t="inlineStr">
        <is>
          <t>Smoke</t>
        </is>
      </c>
      <c r="F29" s="24" t="inlineStr">
        <is>
          <t>v3.38.0</t>
        </is>
      </c>
      <c r="G29" s="24" t="inlineStr">
        <is>
          <t>Criar categoria com emoji e cor</t>
        </is>
      </c>
      <c r="H29" s="24" t="inlineStr">
        <is>
          <t>1. Navbar Config &gt; Categorias
2. Criar categoria com emoji + cor customizada
3. Usar em nova despesa</t>
        </is>
      </c>
      <c r="I29" s="24" t="inlineStr">
        <is>
          <t>Categoria aparece em listagens; cor reflete no badge; nao salva como sentinela __tipo__</t>
        </is>
      </c>
      <c r="J29" s="24" t="inlineStr">
        <is>
          <t>CLAUDE.md + BUG-031 categoriaId sentinela</t>
        </is>
      </c>
      <c r="K29" s="24" t="inlineStr">
        <is>
          <t>Nao iniciado</t>
        </is>
      </c>
      <c r="L29" s="24" t="n"/>
      <c r="M29" s="24" t="n"/>
    </row>
    <row r="30" ht="45" customHeight="1" s="18">
      <c r="A30" s="26" t="n">
        <v>28</v>
      </c>
      <c r="B30" s="26" t="inlineStr">
        <is>
          <t>TC-CONTA-01</t>
        </is>
      </c>
      <c r="C30" s="26" t="inlineStr">
        <is>
          <t>Config/Contas</t>
        </is>
      </c>
      <c r="D30" s="26" t="inlineStr">
        <is>
          <t>P1</t>
        </is>
      </c>
      <c r="E30" s="26" t="inlineStr">
        <is>
          <t>Smoke</t>
        </is>
      </c>
      <c r="F30" s="26" t="inlineStr">
        <is>
          <t>v3.38.0</t>
        </is>
      </c>
      <c r="G30" s="26" t="inlineStr">
        <is>
          <t>Conta padrao nao pode ser deletada</t>
        </is>
      </c>
      <c r="H30" s="26" t="inlineStr">
        <is>
          <t>1. Config &gt; Contas
2. Tentar deletar uma conta padrao (ex: Itau, Nubank)</t>
        </is>
      </c>
      <c r="I30" s="26" t="inlineStr">
        <is>
          <t>Operacao bloqueada ou so altera ativa=false; nunca deleta doc</t>
        </is>
      </c>
      <c r="J30" s="26" t="inlineStr">
        <is>
          <t>CLAUDE.md - Nunca deletar contas</t>
        </is>
      </c>
      <c r="K30" s="26" t="inlineStr">
        <is>
          <t>Nao iniciado</t>
        </is>
      </c>
      <c r="L30" s="26" t="n"/>
      <c r="M30" s="26" t="n"/>
    </row>
    <row r="31" ht="45" customHeight="1" s="18">
      <c r="A31" s="24" t="n">
        <v>29</v>
      </c>
      <c r="B31" s="24" t="inlineStr">
        <is>
          <t>TC-ORC-01</t>
        </is>
      </c>
      <c r="C31" s="24" t="inlineStr">
        <is>
          <t>Config/Orcamentos</t>
        </is>
      </c>
      <c r="D31" s="24" t="inlineStr">
        <is>
          <t>P2</t>
        </is>
      </c>
      <c r="E31" s="24" t="inlineStr">
        <is>
          <t>Smoke</t>
        </is>
      </c>
      <c r="F31" s="24" t="inlineStr">
        <is>
          <t>v3.38.0</t>
        </is>
      </c>
      <c r="G31" s="24" t="inlineStr">
        <is>
          <t>Cores de orcamento por faixa de %</t>
        </is>
      </c>
      <c r="H31" s="24" t="inlineStr">
        <is>
          <t>1. Config &gt; Orcamentos
2. Observar orcamentos em &lt; 70%, 70-89%, 90-100%, &gt; 100%</t>
        </is>
      </c>
      <c r="I31" s="24" t="inlineStr">
        <is>
          <t>Cores: OK (verde) &lt;70%, Warning (amarelo) 70-89%, Danger (vermelho) 90-100%, Critical (roxo) &gt;100%</t>
        </is>
      </c>
      <c r="J31" s="24" t="inlineStr">
        <is>
          <t>DESIGN_SYSTEM.md status orcamentos</t>
        </is>
      </c>
      <c r="K31" s="24" t="inlineStr">
        <is>
          <t>Nao iniciado</t>
        </is>
      </c>
      <c r="L31" s="24" t="n"/>
      <c r="M31" s="24" t="n"/>
    </row>
    <row r="32" ht="45.75" customHeight="1" s="18">
      <c r="A32" s="26" t="n">
        <v>30</v>
      </c>
      <c r="B32" s="26" t="inlineStr">
        <is>
          <t>TC-GRUPO-01</t>
        </is>
      </c>
      <c r="C32" s="26" t="inlineStr">
        <is>
          <t>Config/Grupo</t>
        </is>
      </c>
      <c r="D32" s="25" t="inlineStr">
        <is>
          <t>P0</t>
        </is>
      </c>
      <c r="E32" s="26" t="inlineStr">
        <is>
          <t>Critico</t>
        </is>
      </c>
      <c r="F32" s="26" t="inlineStr">
        <is>
          <t>v3.38.0</t>
        </is>
      </c>
      <c r="G32" s="26" t="inlineStr">
        <is>
          <t>grupoId isola dados entre grupos</t>
        </is>
      </c>
      <c r="H32" s="26" t="inlineStr">
        <is>
          <t>1. Logar com Luigi em grupo A
2. Inspecionar DevTools &gt; Network &gt; Firestore requests
3. Verificar que queries tem filtro grupoId</t>
        </is>
      </c>
      <c r="I32" s="26" t="inlineStr">
        <is>
          <t>Toda query contem where(grupoId==&lt;id_do_grupo&gt;); sem leak entre grupos</t>
        </is>
      </c>
      <c r="J32" s="26" t="inlineStr">
        <is>
          <t>REGRA INVIOLAVEL 6 - grupoId obrigatorio</t>
        </is>
      </c>
      <c r="K32" s="26" t="inlineStr">
        <is>
          <t>Nao iniciado</t>
        </is>
      </c>
      <c r="L32" s="26" t="n"/>
      <c r="M32" s="26" t="n"/>
    </row>
    <row r="33" ht="45.75" customHeight="1" s="18">
      <c r="A33" s="24" t="n">
        <v>31</v>
      </c>
      <c r="B33" s="24" t="inlineStr">
        <is>
          <t>TC-GRUPO-02</t>
        </is>
      </c>
      <c r="C33" s="24" t="inlineStr">
        <is>
          <t>Config/Grupo</t>
        </is>
      </c>
      <c r="D33" s="24" t="inlineStr">
        <is>
          <t>P2</t>
        </is>
      </c>
      <c r="E33" s="24" t="inlineStr">
        <is>
          <t>Smoke</t>
        </is>
      </c>
      <c r="F33" s="24" t="inlineStr">
        <is>
          <t>v3.38.0</t>
        </is>
      </c>
      <c r="G33" s="24" t="inlineStr">
        <is>
          <t>Convite de membro via email</t>
        </is>
      </c>
      <c r="H33" s="24" t="inlineStr">
        <is>
          <t>1. Config &gt; Grupo
2. Enviar convite para email de teste
3. Aceitar convite em outra sessao</t>
        </is>
      </c>
      <c r="I33" s="24" t="inlineStr">
        <is>
          <t>Novo membro entra no grupo; acesso compartilhado funciona</t>
        </is>
      </c>
      <c r="J33" s="24" t="inlineStr">
        <is>
          <t>src/js/services/grupos.js</t>
        </is>
      </c>
      <c r="K33" s="24" t="inlineStr">
        <is>
          <t>Nao iniciado</t>
        </is>
      </c>
      <c r="L33" s="24" t="n"/>
      <c r="M33" s="24" t="n"/>
    </row>
    <row r="34" ht="60" customHeight="1" s="18">
      <c r="A34" s="26" t="n">
        <v>32</v>
      </c>
      <c r="B34" s="26" t="inlineStr">
        <is>
          <t>TC-DS-01</t>
        </is>
      </c>
      <c r="C34" s="26" t="inlineStr">
        <is>
          <t>Design System</t>
        </is>
      </c>
      <c r="D34" s="26" t="inlineStr">
        <is>
          <t>P1</t>
        </is>
      </c>
      <c r="E34" s="26" t="inlineStr">
        <is>
          <t>Critico</t>
        </is>
      </c>
      <c r="F34" s="26" t="inlineStr">
        <is>
          <t>v3.38.0 (revisado)</t>
        </is>
      </c>
      <c r="G34" s="26" t="inlineStr">
        <is>
          <t>Zero cores hex hardcoded + tokens de espacamento/tipografia</t>
        </is>
      </c>
      <c r="H34" s="26" t="inlineStr">
        <is>
          <t>1. Abrir src/css/fluxo-caixa.css, dashboard.css, planejamento.css
2. Buscar padrao hex (#[0-9a-f]{6})
3. Buscar padroes px fixos fora de tokens
4. Verificar uso de var(--color-*), var(--space-*), var(--rhythm-*), var(--font-size-*)</t>
        </is>
      </c>
      <c r="I34" s="26" t="inlineStr">
        <is>
          <t>Apenas tokens DS em uso; zero hex direto; espacamentos usam tokens --space/--rhythm; tipografia usa tokens --font-size</t>
        </is>
      </c>
      <c r="J34" s="26" t="inlineStr">
        <is>
          <t>REGRA INVIOLAVEL 4 + NRF-UX F6 (v3.39.5) + NRF-UX F7 (v3.39.6)</t>
        </is>
      </c>
      <c r="K34" s="26" t="inlineStr">
        <is>
          <t>Nao iniciado</t>
        </is>
      </c>
      <c r="L34" s="26" t="n"/>
      <c r="M34" s="26" t="n"/>
    </row>
    <row r="35" ht="45.75" customHeight="1" s="18">
      <c r="A35" s="24" t="n">
        <v>33</v>
      </c>
      <c r="B35" s="24" t="inlineStr">
        <is>
          <t>TC-DS-02</t>
        </is>
      </c>
      <c r="C35" s="24" t="inlineStr">
        <is>
          <t>Design System</t>
        </is>
      </c>
      <c r="D35" s="24" t="inlineStr">
        <is>
          <t>P2</t>
        </is>
      </c>
      <c r="E35" s="24" t="inlineStr">
        <is>
          <t>Smoke</t>
        </is>
      </c>
      <c r="F35" s="24" t="inlineStr">
        <is>
          <t>v3.38.0</t>
        </is>
      </c>
      <c r="G35" s="24" t="inlineStr">
        <is>
          <t>.btn-danger:hover usa --shadow-danger</t>
        </is>
      </c>
      <c r="H35" s="24" t="inlineStr">
        <is>
          <t>1. Abrir components.css
2. Localizar .btn-danger:hover
3. Verificar que shadow usa var(--shadow-danger)</t>
        </is>
      </c>
      <c r="I35" s="24" t="inlineStr">
        <is>
          <t>Shadow aponta para token novo do Warm Finance; sem rgba hardcoded pre-rebrand</t>
        </is>
      </c>
      <c r="J35" s="24" t="inlineStr">
        <is>
          <t>PR #190 CHANGELOG v3.38.0</t>
        </is>
      </c>
      <c r="K35" s="24" t="inlineStr">
        <is>
          <t>Nao iniciado</t>
        </is>
      </c>
      <c r="L35" s="24" t="n"/>
      <c r="M35" s="24" t="n"/>
    </row>
    <row r="36" ht="45.75" customHeight="1" s="18">
      <c r="A36" s="26" t="n">
        <v>34</v>
      </c>
      <c r="B36" s="26" t="inlineStr">
        <is>
          <t>TC-DS-03</t>
        </is>
      </c>
      <c r="C36" s="26" t="inlineStr">
        <is>
          <t>Seguranca</t>
        </is>
      </c>
      <c r="D36" s="25" t="inlineStr">
        <is>
          <t>P0</t>
        </is>
      </c>
      <c r="E36" s="26" t="inlineStr">
        <is>
          <t>Critico</t>
        </is>
      </c>
      <c r="F36" s="26" t="inlineStr">
        <is>
          <t>v3.38.0</t>
        </is>
      </c>
      <c r="G36" s="26" t="inlineStr">
        <is>
          <t>escHTML aplicado em innerHTML com dados do usuario</t>
        </is>
      </c>
      <c r="H36" s="26" t="inlineStr">
        <is>
          <t>1. Revisar src/js/pages/despesas.js, receitas.js, fatura.js, base-dados.js
2. Buscar innerHTML e onclick com interpolacao
3. Verificar que todos passam por escHTML()</t>
        </is>
      </c>
      <c r="I36" s="26" t="inlineStr">
        <is>
          <t>Todos os pontos com dados do usuario sanitizados; sem XSS vector</t>
        </is>
      </c>
      <c r="J36" s="26" t="inlineStr">
        <is>
          <t>REGRA INVIOLAVEL 7 + security-reviewer + PR #181/#176/#190</t>
        </is>
      </c>
      <c r="K36" s="26" t="inlineStr">
        <is>
          <t>Nao iniciado</t>
        </is>
      </c>
      <c r="L36" s="26" t="n"/>
      <c r="M36" s="26" t="n"/>
    </row>
    <row r="37" ht="45.75" customHeight="1" s="18">
      <c r="A37" s="24" t="n">
        <v>35</v>
      </c>
      <c r="B37" s="24" t="inlineStr">
        <is>
          <t>TC-REG-01</t>
        </is>
      </c>
      <c r="C37" s="24" t="inlineStr">
        <is>
          <t>Regressao/Inviolaveis</t>
        </is>
      </c>
      <c r="D37" s="25" t="inlineStr">
        <is>
          <t>P0</t>
        </is>
      </c>
      <c r="E37" s="24" t="inlineStr">
        <is>
          <t>Critico</t>
        </is>
      </c>
      <c r="F37" s="24" t="inlineStr">
        <is>
          <t>v3.38.0</t>
        </is>
      </c>
      <c r="G37" s="24" t="inlineStr">
        <is>
          <t>chave_dedup mantem formato original</t>
        </is>
      </c>
      <c r="H37" s="24" t="inlineStr">
        <is>
          <t>1. Importar transacao
2. Inspecionar doc no Firestore
3. Conferir formato: data||desc||valor||portador||parcela</t>
        </is>
      </c>
      <c r="I37" s="24" t="inlineStr">
        <is>
          <t>Formato identico ao documentado em CLAUDE.md; sem quebra historica de dedup</t>
        </is>
      </c>
      <c r="J37" s="24" t="inlineStr">
        <is>
          <t>REGRA INVIOLAVEL 1</t>
        </is>
      </c>
      <c r="K37" s="24" t="inlineStr">
        <is>
          <t>Nao iniciado</t>
        </is>
      </c>
      <c r="L37" s="24" t="n"/>
      <c r="M37" s="24" t="n"/>
    </row>
    <row r="38" ht="45" customHeight="1" s="18">
      <c r="A38" s="26" t="n">
        <v>36</v>
      </c>
      <c r="B38" s="26" t="inlineStr">
        <is>
          <t>TC-REG-02</t>
        </is>
      </c>
      <c r="C38" s="26" t="inlineStr">
        <is>
          <t>Regressao/Inviolaveis</t>
        </is>
      </c>
      <c r="D38" s="25" t="inlineStr">
        <is>
          <t>P0</t>
        </is>
      </c>
      <c r="E38" s="26" t="inlineStr">
        <is>
          <t>Critico</t>
        </is>
      </c>
      <c r="F38" s="26" t="inlineStr">
        <is>
          <t>v3.38.0</t>
        </is>
      </c>
      <c r="G38" s="26" t="inlineStr">
        <is>
          <t>Parcelamento nunca deletado — so status quitado</t>
        </is>
      </c>
      <c r="H38" s="26" t="inlineStr">
        <is>
          <t>1. Quitar ultima parcela de um parcelamento
2. Inspecionar Firestore &gt; parcelamentos</t>
        </is>
      </c>
      <c r="I38" s="26" t="inlineStr">
        <is>
          <t>Doc existe com status='quitado'; NAO foi apagado</t>
        </is>
      </c>
      <c r="J38" s="26" t="inlineStr">
        <is>
          <t>REGRA INVIOLAVEL 8</t>
        </is>
      </c>
      <c r="K38" s="26" t="inlineStr">
        <is>
          <t>Nao iniciado</t>
        </is>
      </c>
      <c r="L38" s="26" t="n"/>
      <c r="M38" s="26" t="n"/>
    </row>
    <row r="39" ht="45" customHeight="1" s="18">
      <c r="A39" s="24" t="n">
        <v>37</v>
      </c>
      <c r="B39" s="24" t="inlineStr">
        <is>
          <t>TC-REG-03</t>
        </is>
      </c>
      <c r="C39" s="24" t="inlineStr">
        <is>
          <t>Regressao/Inviolaveis</t>
        </is>
      </c>
      <c r="D39" s="24" t="inlineStr">
        <is>
          <t>P1</t>
        </is>
      </c>
      <c r="E39" s="24" t="inlineStr">
        <is>
          <t>Critico</t>
        </is>
      </c>
      <c r="F39" s="24" t="inlineStr">
        <is>
          <t>v3.38.0</t>
        </is>
      </c>
      <c r="G39" s="24" t="inlineStr">
        <is>
          <t>Delete em lote usa writeBatch</t>
        </is>
      </c>
      <c r="H39" s="24" t="inlineStr">
        <is>
          <t>1. Executar operacao de purge/limpeza em lote (emulador recomendado)
2. Observar firestore.rules + codigo</t>
        </is>
      </c>
      <c r="I39" s="24" t="inlineStr">
        <is>
          <t>Operacoes em lote envolvem writeBatch; sem deleteDoc iterativo solto</t>
        </is>
      </c>
      <c r="J39" s="24" t="inlineStr">
        <is>
          <t>REGRA INVIOLAVEL 9</t>
        </is>
      </c>
      <c r="K39" s="24" t="inlineStr">
        <is>
          <t>Nao iniciado</t>
        </is>
      </c>
      <c r="L39" s="24" t="n"/>
      <c r="M39" s="24" t="n"/>
    </row>
    <row r="40" ht="45" customHeight="1" s="18">
      <c r="A40" s="26" t="n">
        <v>38</v>
      </c>
      <c r="B40" s="26" t="inlineStr">
        <is>
          <t>TC-HERO-01</t>
        </is>
      </c>
      <c r="C40" s="26" t="inlineStr">
        <is>
          <t>Cockpit/Dashboard</t>
        </is>
      </c>
      <c r="D40" s="26" t="inlineStr">
        <is>
          <t>P1</t>
        </is>
      </c>
      <c r="E40" s="26" t="inlineStr">
        <is>
          <t>Critico</t>
        </is>
      </c>
      <c r="F40" s="26" t="inlineStr">
        <is>
          <t>v3.39.0</t>
        </is>
      </c>
      <c r="G40" s="26" t="inlineStr">
        <is>
          <t>Card hero 'Saldo Real' sempre visivel no topo</t>
        </is>
      </c>
      <c r="H40" s="26" t="inlineStr">
        <is>
          <t>1. Abrir /dashboard.html em qualquer estado
2. Observar topo da pagina</t>
        </is>
      </c>
      <c r="I40" s="26" t="inlineStr">
        <is>
          <t>Card hero Saldo Real renderizado no topo; contraste visual destacado vs cards regulares</t>
        </is>
      </c>
      <c r="J40" s="26" t="inlineStr">
        <is>
          <t>NRF-VISUAL F1 PR #192</t>
        </is>
      </c>
      <c r="K40" s="26" t="inlineStr">
        <is>
          <t>Nao iniciado</t>
        </is>
      </c>
      <c r="L40" s="26" t="n"/>
      <c r="M40" s="26" t="n"/>
    </row>
    <row r="41" ht="60" customHeight="1" s="18">
      <c r="A41" s="24" t="n">
        <v>39</v>
      </c>
      <c r="B41" s="24" t="inlineStr">
        <is>
          <t>TC-HERO-02</t>
        </is>
      </c>
      <c r="C41" s="24" t="inlineStr">
        <is>
          <t>Cockpit/Dashboard</t>
        </is>
      </c>
      <c r="D41" s="24" t="inlineStr">
        <is>
          <t>P1</t>
        </is>
      </c>
      <c r="E41" s="24" t="inlineStr">
        <is>
          <t>Critico</t>
        </is>
      </c>
      <c r="F41" s="24" t="inlineStr">
        <is>
          <t>v3.39.0</t>
        </is>
      </c>
      <c r="G41" s="24" t="inlineStr">
        <is>
          <t>Card hero 'Proxima Fatura' condicional (&lt;=7 dias)</t>
        </is>
      </c>
      <c r="H41" s="24" t="inlineStr">
        <is>
          <t>1. Garantir fatura com vencimento &lt;=7 dias
2. Abrir dashboard
3. Verificar card hero Proxima Fatura
4. Repetir com vencimento &gt;7 dias e verificar que some</t>
        </is>
      </c>
      <c r="I41" s="24" t="inlineStr">
        <is>
          <t>Com &lt;=7 dias: card hero presente. Com &gt;7 dias: card some ou vira regular</t>
        </is>
      </c>
      <c r="J41" s="24" t="inlineStr">
        <is>
          <t>NRF-VISUAL F1 + app.js regra condicional</t>
        </is>
      </c>
      <c r="K41" s="24" t="inlineStr">
        <is>
          <t>Nao iniciado</t>
        </is>
      </c>
      <c r="L41" s="24" t="n"/>
      <c r="M41" s="24" t="n"/>
    </row>
    <row r="42" ht="60" customHeight="1" s="18">
      <c r="A42" s="26" t="n">
        <v>40</v>
      </c>
      <c r="B42" s="26" t="inlineStr">
        <is>
          <t>TC-HERO-03</t>
        </is>
      </c>
      <c r="C42" s="26" t="inlineStr">
        <is>
          <t>Cockpit/Dashboard</t>
        </is>
      </c>
      <c r="D42" s="26" t="inlineStr">
        <is>
          <t>P1</t>
        </is>
      </c>
      <c r="E42" s="26" t="inlineStr">
        <is>
          <t>Critico</t>
        </is>
      </c>
      <c r="F42" s="26" t="inlineStr">
        <is>
          <t>v3.39.0</t>
        </is>
      </c>
      <c r="G42" s="26" t="inlineStr">
        <is>
          <t>Card hero 'Burn Rate' condicional (estouro &gt;10%)</t>
        </is>
      </c>
      <c r="H42" s="26" t="inlineStr">
        <is>
          <t>1. Garantir burn rate em estouro &gt;10%
2. Abrir dashboard
3. Verificar card hero Burn Rate
4. Repetir com &lt;10% e verificar ausencia</t>
        </is>
      </c>
      <c r="I42" s="26" t="inlineStr">
        <is>
          <t>Condicao respeitada; card hero so aparece em estouro critico</t>
        </is>
      </c>
      <c r="J42" s="26" t="inlineStr">
        <is>
          <t>NRF-VISUAL F1 + burnRateCalculator.js</t>
        </is>
      </c>
      <c r="K42" s="26" t="inlineStr">
        <is>
          <t>Nao iniciado</t>
        </is>
      </c>
      <c r="L42" s="26" t="n"/>
      <c r="M42" s="26" t="n"/>
    </row>
    <row r="43" ht="45" customHeight="1" s="18">
      <c r="A43" s="24" t="n">
        <v>41</v>
      </c>
      <c r="B43" s="24" t="inlineStr">
        <is>
          <t>TC-HERO-04</t>
        </is>
      </c>
      <c r="C43" s="24" t="inlineStr">
        <is>
          <t>Cockpit/Dashboard</t>
        </is>
      </c>
      <c r="D43" s="24" t="inlineStr">
        <is>
          <t>P1</t>
        </is>
      </c>
      <c r="E43" s="24" t="inlineStr">
        <is>
          <t>Critico</t>
        </is>
      </c>
      <c r="F43" s="24" t="inlineStr">
        <is>
          <t>v3.39.0</t>
        </is>
      </c>
      <c r="G43" s="24" t="inlineStr">
        <is>
          <t>Contraste visual cards hero &gt;= 12:1</t>
        </is>
      </c>
      <c r="H43" s="24" t="inlineStr">
        <is>
          <t>1. Em dashboard, abrir DevTools &gt; Lighthouse ou axe
2. Rodar audit a11y nos cards hero</t>
        </is>
      </c>
      <c r="I43" s="24" t="inlineStr">
        <is>
          <t>Contraste texto/fundo &gt;= 12:1 (AAA); sem warning a11y para cards hero</t>
        </is>
      </c>
      <c r="J43" s="24" t="inlineStr">
        <is>
          <t>NRF-VISUAL F1 + DESIGN_SYSTEM.md contraste</t>
        </is>
      </c>
      <c r="K43" s="24" t="inlineStr">
        <is>
          <t>Nao iniciado</t>
        </is>
      </c>
      <c r="L43" s="24" t="n"/>
      <c r="M43" s="24" t="n"/>
    </row>
    <row r="44" ht="45" customHeight="1" s="18">
      <c r="A44" s="26" t="n">
        <v>42</v>
      </c>
      <c r="B44" s="26" t="inlineStr">
        <is>
          <t>TC-HERO-05</t>
        </is>
      </c>
      <c r="C44" s="26" t="inlineStr">
        <is>
          <t>Cockpit/Dashboard</t>
        </is>
      </c>
      <c r="D44" s="26" t="inlineStr">
        <is>
          <t>P2</t>
        </is>
      </c>
      <c r="E44" s="26" t="inlineStr">
        <is>
          <t>Smoke</t>
        </is>
      </c>
      <c r="F44" s="26" t="inlineStr">
        <is>
          <t>v3.39.0</t>
        </is>
      </c>
      <c r="G44" s="26" t="inlineStr">
        <is>
          <t>Cards hero adaptam layout mobile (&lt;414px)</t>
        </is>
      </c>
      <c r="H44" s="26" t="inlineStr">
        <is>
          <t>1. Abrir dashboard em viewport &lt;414px (DevTools responsive)
2. Observar cards hero</t>
        </is>
      </c>
      <c r="I44" s="26" t="inlineStr">
        <is>
          <t>Cards empilham verticalmente; tipografia ajusta; sem overflow horizontal</t>
        </is>
      </c>
      <c r="J44" s="26" t="inlineStr">
        <is>
          <t>NRF-VISUAL F1 + variables.css mobile breakpoint</t>
        </is>
      </c>
      <c r="K44" s="26" t="inlineStr">
        <is>
          <t>Nao iniciado</t>
        </is>
      </c>
      <c r="L44" s="26" t="n"/>
      <c r="M44" s="26" t="n"/>
    </row>
    <row r="45" ht="45.75" customHeight="1" s="18">
      <c r="A45" s="24" t="n">
        <v>43</v>
      </c>
      <c r="B45" s="24" t="inlineStr">
        <is>
          <t>TC-TYPO-01</t>
        </is>
      </c>
      <c r="C45" s="24" t="inlineStr">
        <is>
          <t>Design System</t>
        </is>
      </c>
      <c r="D45" s="24" t="inlineStr">
        <is>
          <t>P2</t>
        </is>
      </c>
      <c r="E45" s="24" t="inlineStr">
        <is>
          <t>Smoke</t>
        </is>
      </c>
      <c r="F45" s="24" t="inlineStr">
        <is>
          <t>v3.39.1</t>
        </is>
      </c>
      <c r="G45" s="24" t="inlineStr">
        <is>
          <t>Fraunces carrega em titulos h1/h2 com fallback</t>
        </is>
      </c>
      <c r="H45" s="24" t="inlineStr">
        <is>
          <t>1. Abrir qualquer pagina (dashboard, fatura)
2. Inspecionar h1/h2 no DevTools &gt; Computed &gt; font-family
3. Desabilitar cache e recarregar</t>
        </is>
      </c>
      <c r="I45" s="24" t="inlineStr">
        <is>
          <t>font-family inclui Fraunces como primaria e fallback serif/system; renderizacao consistente</t>
        </is>
      </c>
      <c r="J45" s="24" t="inlineStr">
        <is>
          <t>NRF-UX F2 PR #194 + components.css</t>
        </is>
      </c>
      <c r="K45" s="24" t="inlineStr">
        <is>
          <t>Nao iniciado</t>
        </is>
      </c>
      <c r="L45" s="24" t="n"/>
      <c r="M45" s="24" t="n"/>
    </row>
    <row r="46" ht="45.75" customHeight="1" s="18">
      <c r="A46" s="26" t="n">
        <v>44</v>
      </c>
      <c r="B46" s="26" t="inlineStr">
        <is>
          <t>TC-TYPO-02</t>
        </is>
      </c>
      <c r="C46" s="26" t="inlineStr">
        <is>
          <t>Design System</t>
        </is>
      </c>
      <c r="D46" s="26" t="inlineStr">
        <is>
          <t>P2</t>
        </is>
      </c>
      <c r="E46" s="26" t="inlineStr">
        <is>
          <t>Smoke</t>
        </is>
      </c>
      <c r="F46" s="26" t="inlineStr">
        <is>
          <t>v3.39.1</t>
        </is>
      </c>
      <c r="G46" s="26" t="inlineStr">
        <is>
          <t>font-display swap previne FOIT</t>
        </is>
      </c>
      <c r="H46" s="26" t="inlineStr">
        <is>
          <t>1. Abrir pagina com cache limpo
2. Observar se titulos aparecem imediatamente com fallback
3. Verificar swap quando Fraunces carregar</t>
        </is>
      </c>
      <c r="I46" s="26" t="inlineStr">
        <is>
          <t>Titulos visiveis desde o primeiro paint (sem FOIT); swap suave para Fraunces</t>
        </is>
      </c>
      <c r="J46" s="26" t="inlineStr">
        <is>
          <t>NRF-UX F2 + @font-face font-display: swap</t>
        </is>
      </c>
      <c r="K46" s="26" t="inlineStr">
        <is>
          <t>Nao iniciado</t>
        </is>
      </c>
      <c r="L46" s="26" t="n"/>
      <c r="M46" s="26" t="n"/>
    </row>
    <row r="47" ht="45.75" customHeight="1" s="18">
      <c r="A47" s="24" t="n">
        <v>45</v>
      </c>
      <c r="B47" s="24" t="inlineStr">
        <is>
          <t>TC-ICON-01</t>
        </is>
      </c>
      <c r="C47" s="24" t="inlineStr">
        <is>
          <t>Design System</t>
        </is>
      </c>
      <c r="D47" s="25" t="inlineStr">
        <is>
          <t>P0</t>
        </is>
      </c>
      <c r="E47" s="24" t="inlineStr">
        <is>
          <t>Critico</t>
        </is>
      </c>
      <c r="F47" s="24" t="inlineStr">
        <is>
          <t>v3.39.2</t>
        </is>
      </c>
      <c r="G47" s="24" t="inlineStr">
        <is>
          <t>Navbar — 15 icones Lucide renderizam em todas as paginas</t>
        </is>
      </c>
      <c r="H47" s="24" t="inlineStr">
        <is>
          <t>1. Visitar as 13 paginas do MPA
2. Observar navbar em cada uma
3. Verificar que icones das secoes Cockpit/Historico/Transacoes/Futuro/Config aparecem</t>
        </is>
      </c>
      <c r="I47" s="24" t="inlineStr">
        <is>
          <t>Todos os 15 icones Lucide visiveis; zero quebra; sem rectangulos tofu</t>
        </is>
      </c>
      <c r="J47" s="24" t="inlineStr">
        <is>
          <t>NRF-UX F3 PR #195 + nav.js</t>
        </is>
      </c>
      <c r="K47" s="24" t="inlineStr">
        <is>
          <t>Nao iniciado</t>
        </is>
      </c>
      <c r="L47" s="24" t="n"/>
      <c r="M47" s="24" t="n"/>
    </row>
    <row r="48" ht="45" customHeight="1" s="18">
      <c r="A48" s="26" t="n">
        <v>46</v>
      </c>
      <c r="B48" s="26" t="inlineStr">
        <is>
          <t>TC-ICON-02</t>
        </is>
      </c>
      <c r="C48" s="26" t="inlineStr">
        <is>
          <t>Design System</t>
        </is>
      </c>
      <c r="D48" s="25" t="inlineStr">
        <is>
          <t>P0</t>
        </is>
      </c>
      <c r="E48" s="26" t="inlineStr">
        <is>
          <t>Critico</t>
        </is>
      </c>
      <c r="F48" s="26" t="inlineStr">
        <is>
          <t>v3.39.2</t>
        </is>
      </c>
      <c r="G48" s="26" t="inlineStr">
        <is>
          <t>Section headers usam icones Lucide (nao emojis)</t>
        </is>
      </c>
      <c r="H48" s="26" t="inlineStr">
        <is>
          <t>1. Abrir dashboard, fatura, despesas, fluxo-caixa, patrimonio
2. Inspecionar headers de secoes com DevTools</t>
        </is>
      </c>
      <c r="I48" s="26" t="inlineStr">
        <is>
          <t>Tags &lt;i data-lucide='...'&gt; no lugar de emojis; aria-hidden='true' presente</t>
        </is>
      </c>
      <c r="J48" s="26" t="inlineStr">
        <is>
          <t>NRF-UX F3 + section headers refatorados</t>
        </is>
      </c>
      <c r="K48" s="26" t="inlineStr">
        <is>
          <t>Nao iniciado</t>
        </is>
      </c>
      <c r="L48" s="26" t="n"/>
      <c r="M48" s="26" t="n"/>
    </row>
    <row r="49" ht="45" customHeight="1" s="18">
      <c r="A49" s="24" t="n">
        <v>47</v>
      </c>
      <c r="B49" s="24" t="inlineStr">
        <is>
          <t>TC-ICON-03</t>
        </is>
      </c>
      <c r="C49" s="24" t="inlineStr">
        <is>
          <t>Design System</t>
        </is>
      </c>
      <c r="D49" s="24" t="inlineStr">
        <is>
          <t>P1</t>
        </is>
      </c>
      <c r="E49" s="24" t="inlineStr">
        <is>
          <t>Critico</t>
        </is>
      </c>
      <c r="F49" s="24" t="inlineStr">
        <is>
          <t>v3.39.3</t>
        </is>
      </c>
      <c r="G49" s="24" t="inlineStr">
        <is>
          <t>Botoes canonicos usam icones Lucide</t>
        </is>
      </c>
      <c r="H49" s="24" t="inlineStr">
        <is>
          <t>1. Observar botoes editar/excluir/salvar/fechar em despesas, receitas, contas
2. Inspecionar HTML</t>
        </is>
      </c>
      <c r="I49" s="24" t="inlineStr">
        <is>
          <t>Botoes usam &lt;i data-lucide='pencil|trash|save|x'&gt; com tokens --icon-size-*</t>
        </is>
      </c>
      <c r="J49" s="24" t="inlineStr">
        <is>
          <t>NRF-UX F4 PR #196</t>
        </is>
      </c>
      <c r="K49" s="24" t="inlineStr">
        <is>
          <t>Nao iniciado</t>
        </is>
      </c>
      <c r="L49" s="24" t="n"/>
      <c r="M49" s="24" t="n"/>
    </row>
    <row r="50" ht="45.75" customHeight="1" s="18">
      <c r="A50" s="26" t="n">
        <v>48</v>
      </c>
      <c r="B50" s="26" t="inlineStr">
        <is>
          <t>TC-ICON-04</t>
        </is>
      </c>
      <c r="C50" s="26" t="inlineStr">
        <is>
          <t>Design System</t>
        </is>
      </c>
      <c r="D50" s="25" t="inlineStr">
        <is>
          <t>P0</t>
        </is>
      </c>
      <c r="E50" s="26" t="inlineStr">
        <is>
          <t>Critico</t>
        </is>
      </c>
      <c r="F50" s="26" t="inlineStr">
        <is>
          <t>v3.39.3</t>
        </is>
      </c>
      <c r="G50" s="26" t="inlineStr">
        <is>
          <t>Icones decorativos tem aria-hidden='true'</t>
        </is>
      </c>
      <c r="H50" s="26" t="inlineStr">
        <is>
          <t>1. Inspecionar DOM em 3 paginas
2. Localizar &lt;i data-lucide='...'&gt;
3. Verificar atributo aria-hidden</t>
        </is>
      </c>
      <c r="I50" s="26" t="inlineStr">
        <is>
          <t>Todos os icones decorativos tem aria-hidden='true'; leitores de tela pulam corretamente</t>
        </is>
      </c>
      <c r="J50" s="26" t="inlineStr">
        <is>
          <t>NRF-UX F4 + acessibilidade</t>
        </is>
      </c>
      <c r="K50" s="26" t="inlineStr">
        <is>
          <t>Nao iniciado</t>
        </is>
      </c>
      <c r="L50" s="26" t="n"/>
      <c r="M50" s="26" t="n"/>
    </row>
    <row r="51" ht="45.75" customHeight="1" s="18">
      <c r="A51" s="24" t="n">
        <v>49</v>
      </c>
      <c r="B51" s="24" t="inlineStr">
        <is>
          <t>TC-ICON-05</t>
        </is>
      </c>
      <c r="C51" s="24" t="inlineStr">
        <is>
          <t>Design System</t>
        </is>
      </c>
      <c r="D51" s="25" t="inlineStr">
        <is>
          <t>P0</t>
        </is>
      </c>
      <c r="E51" s="24" t="inlineStr">
        <is>
          <t>Critico</t>
        </is>
      </c>
      <c r="F51" s="24" t="inlineStr">
        <is>
          <t>v3.39.2</t>
        </is>
      </c>
      <c r="G51" s="24" t="inlineStr">
        <is>
          <t>Zero emojis em chrome (navbar, headers, botoes)</t>
        </is>
      </c>
      <c r="H51" s="24" t="inlineStr">
        <is>
          <t>1. Abrir DevTools &gt; Console
2. Rodar: document.body.innerText.match(/[\u{1F300}-\u{1F9FF}]/gu)?.length
3. Verificar resultado</t>
        </is>
      </c>
      <c r="I51" s="24" t="inlineStr">
        <is>
          <t>Contagem de emojis em chrome = 0 (categorias de usuario podem ter emojis, mas UI nao)</t>
        </is>
      </c>
      <c r="J51" s="24" t="inlineStr">
        <is>
          <t>NRF-UX F3 + grep emoji removal</t>
        </is>
      </c>
      <c r="K51" s="24" t="inlineStr">
        <is>
          <t>Nao iniciado</t>
        </is>
      </c>
      <c r="L51" s="24" t="n"/>
      <c r="M51" s="24" t="n"/>
    </row>
    <row r="52" ht="45.75" customHeight="1" s="18">
      <c r="A52" s="26" t="n">
        <v>50</v>
      </c>
      <c r="B52" s="26" t="inlineStr">
        <is>
          <t>TC-ICON-06</t>
        </is>
      </c>
      <c r="C52" s="26" t="inlineStr">
        <is>
          <t>Design System</t>
        </is>
      </c>
      <c r="D52" s="26" t="inlineStr">
        <is>
          <t>P2</t>
        </is>
      </c>
      <c r="E52" s="26" t="inlineStr">
        <is>
          <t>Smoke</t>
        </is>
      </c>
      <c r="F52" s="26" t="inlineStr">
        <is>
          <t>v3.39.3</t>
        </is>
      </c>
      <c r="G52" s="26" t="inlineStr">
        <is>
          <t>Tokens --icon-size-* e CDN Lucide ativos</t>
        </is>
      </c>
      <c r="H52" s="26" t="inlineStr">
        <is>
          <t>1. Abrir variables.css e buscar --icon-size-
2. Abrir um HTML e verificar &lt;script&gt; Lucide CDN
3. Verificar Network panel que CDN carrega</t>
        </is>
      </c>
      <c r="I52" s="26" t="inlineStr">
        <is>
          <t>Tokens --icon-size-xs/sm/md/lg/xl definidos; CDN Lucide 200 OK; zero erros 404</t>
        </is>
      </c>
      <c r="J52" s="26" t="inlineStr">
        <is>
          <t>NRF-UX F4 + variables.css + CDN</t>
        </is>
      </c>
      <c r="K52" s="26" t="inlineStr">
        <is>
          <t>Nao iniciado</t>
        </is>
      </c>
      <c r="L52" s="26" t="n"/>
      <c r="M52" s="26" t="n"/>
    </row>
    <row r="53" ht="45" customHeight="1" s="18">
      <c r="A53" s="24" t="n">
        <v>51</v>
      </c>
      <c r="B53" s="24" t="inlineStr">
        <is>
          <t>TC-SKEL-01</t>
        </is>
      </c>
      <c r="C53" s="24" t="inlineStr">
        <is>
          <t>Cockpit/Dashboard</t>
        </is>
      </c>
      <c r="D53" s="25" t="inlineStr">
        <is>
          <t>P0</t>
        </is>
      </c>
      <c r="E53" s="24" t="inlineStr">
        <is>
          <t>Critico</t>
        </is>
      </c>
      <c r="F53" s="24" t="inlineStr">
        <is>
          <t>v3.39.4</t>
        </is>
      </c>
      <c r="G53" s="24" t="inlineStr">
        <is>
          <t>Dashboard — skeleton visivel antes de onSnapshot</t>
        </is>
      </c>
      <c r="H53" s="24" t="inlineStr">
        <is>
          <t>1. Abrir /dashboard.html com DevTools &gt; Network &gt; Slow 3G
2. Observar estado inicial pre-dados</t>
        </is>
      </c>
      <c r="I53" s="24" t="inlineStr">
        <is>
          <t>Skeleton shimmer aparece nos cards; canvas Chart.js oculto; desaparece ao render real</t>
        </is>
      </c>
      <c r="J53" s="24" t="inlineStr">
        <is>
          <t>NRF-UX F5 PR #197 + skeletons.js</t>
        </is>
      </c>
      <c r="K53" s="24" t="inlineStr">
        <is>
          <t>Nao iniciado</t>
        </is>
      </c>
      <c r="L53" s="24" t="n"/>
      <c r="M53" s="24" t="n"/>
    </row>
    <row r="54" ht="45.75" customHeight="1" s="18">
      <c r="A54" s="26" t="n">
        <v>52</v>
      </c>
      <c r="B54" s="26" t="inlineStr">
        <is>
          <t>TC-SKEL-02</t>
        </is>
      </c>
      <c r="C54" s="26" t="inlineStr">
        <is>
          <t>Transacoes/Fatura</t>
        </is>
      </c>
      <c r="D54" s="25" t="inlineStr">
        <is>
          <t>P0</t>
        </is>
      </c>
      <c r="E54" s="26" t="inlineStr">
        <is>
          <t>Critico</t>
        </is>
      </c>
      <c r="F54" s="26" t="inlineStr">
        <is>
          <t>v3.39.4</t>
        </is>
      </c>
      <c r="G54" s="26" t="inlineStr">
        <is>
          <t>Fatura — skeleton de lista ao trocar mes/cartao</t>
        </is>
      </c>
      <c r="H54" s="26" t="inlineStr">
        <is>
          <t>1. Navbar Transacoes &gt; Fatura
2. Trocar de cartao ou mes
3. Observar estado de loading</t>
        </is>
      </c>
      <c r="I54" s="26" t="inlineStr">
        <is>
          <t>Skeleton da lista aparece durante fetch; substituido pelos itens reais sem flash</t>
        </is>
      </c>
      <c r="J54" s="26" t="inlineStr">
        <is>
          <t>NRF-UX F5 + fatura.js</t>
        </is>
      </c>
      <c r="K54" s="26" t="inlineStr">
        <is>
          <t>Nao iniciado</t>
        </is>
      </c>
      <c r="L54" s="26" t="n"/>
      <c r="M54" s="26" t="n"/>
    </row>
    <row r="55" ht="45" customHeight="1" s="18">
      <c r="A55" s="24" t="n">
        <v>53</v>
      </c>
      <c r="B55" s="24" t="inlineStr">
        <is>
          <t>TC-SKEL-03</t>
        </is>
      </c>
      <c r="C55" s="24" t="inlineStr">
        <is>
          <t>Historico/Patrimonio</t>
        </is>
      </c>
      <c r="D55" s="24" t="inlineStr">
        <is>
          <t>P1</t>
        </is>
      </c>
      <c r="E55" s="24" t="inlineStr">
        <is>
          <t>Smoke</t>
        </is>
      </c>
      <c r="F55" s="24" t="inlineStr">
        <is>
          <t>v3.39.4</t>
        </is>
      </c>
      <c r="G55" s="24" t="inlineStr">
        <is>
          <t>Patrimonio — skeleton de ativos e passivos</t>
        </is>
      </c>
      <c r="H55" s="24" t="inlineStr">
        <is>
          <t>1. Navbar Historico &gt; Patrimonio (cold load)
2. Observar cards de ativos e passivos antes da hidratacao</t>
        </is>
      </c>
      <c r="I55" s="24" t="inlineStr">
        <is>
          <t>Skeleton dos cards aparece; substituido pelos valores reais</t>
        </is>
      </c>
      <c r="J55" s="24" t="inlineStr">
        <is>
          <t>NRF-UX F5 + patrimonio.js</t>
        </is>
      </c>
      <c r="K55" s="24" t="inlineStr">
        <is>
          <t>Nao iniciado</t>
        </is>
      </c>
      <c r="L55" s="24" t="n"/>
      <c r="M55" s="24" t="n"/>
    </row>
    <row r="56" ht="45" customHeight="1" s="18">
      <c r="A56" s="26" t="n">
        <v>54</v>
      </c>
      <c r="B56" s="26" t="inlineStr">
        <is>
          <t>TC-SKEL-04</t>
        </is>
      </c>
      <c r="C56" s="26" t="inlineStr">
        <is>
          <t>Futuro/FluxoCaixa</t>
        </is>
      </c>
      <c r="D56" s="26" t="inlineStr">
        <is>
          <t>P1</t>
        </is>
      </c>
      <c r="E56" s="26" t="inlineStr">
        <is>
          <t>Smoke</t>
        </is>
      </c>
      <c r="F56" s="26" t="inlineStr">
        <is>
          <t>v3.39.4</t>
        </is>
      </c>
      <c r="G56" s="26" t="inlineStr">
        <is>
          <t>Fluxo de Caixa — skeleton de forecast</t>
        </is>
      </c>
      <c r="H56" s="26" t="inlineStr">
        <is>
          <t>1. Navbar Futuro &gt; Fluxo de Caixa (cold load)
2. Observar card Forecast antes do chart renderizar</t>
        </is>
      </c>
      <c r="I56" s="26" t="inlineStr">
        <is>
          <t>Skeleton do grafico aparece; canvas oculto ate dados chegarem</t>
        </is>
      </c>
      <c r="J56" s="26" t="inlineStr">
        <is>
          <t>NRF-UX F5 + fluxo-caixa.js</t>
        </is>
      </c>
      <c r="K56" s="26" t="inlineStr">
        <is>
          <t>Nao iniciado</t>
        </is>
      </c>
      <c r="L56" s="26" t="n"/>
      <c r="M56" s="26" t="n"/>
    </row>
    <row r="57" ht="45" customHeight="1" s="18">
      <c r="A57" s="24" t="n">
        <v>55</v>
      </c>
      <c r="B57" s="24" t="inlineStr">
        <is>
          <t>TC-SKEL-05</t>
        </is>
      </c>
      <c r="C57" s="24" t="inlineStr">
        <is>
          <t>Futuro/FluxoCaixa</t>
        </is>
      </c>
      <c r="D57" s="24" t="inlineStr">
        <is>
          <t>P1</t>
        </is>
      </c>
      <c r="E57" s="24" t="inlineStr">
        <is>
          <t>Smoke</t>
        </is>
      </c>
      <c r="F57" s="24" t="inlineStr">
        <is>
          <t>v3.39.4</t>
        </is>
      </c>
      <c r="G57" s="24" t="inlineStr">
        <is>
          <t>Fluxo de Caixa — skeleton de compromissos</t>
        </is>
      </c>
      <c r="H57" s="24" t="inlineStr">
        <is>
          <t>1. Em Fluxo de Caixa, scroll ate Compromissos (cold load)
2. Observar estado pre-render</t>
        </is>
      </c>
      <c r="I57" s="24" t="inlineStr">
        <is>
          <t>Skeleton das linhas de compromissos aparece; trocas suave pelos dados reais</t>
        </is>
      </c>
      <c r="J57" s="24" t="inlineStr">
        <is>
          <t>NRF-UX F5</t>
        </is>
      </c>
      <c r="K57" s="24" t="inlineStr">
        <is>
          <t>Nao iniciado</t>
        </is>
      </c>
      <c r="L57" s="24" t="n"/>
      <c r="M57" s="24" t="n"/>
    </row>
    <row r="58" ht="45" customHeight="1" s="18">
      <c r="A58" s="26" t="n">
        <v>56</v>
      </c>
      <c r="B58" s="26" t="inlineStr">
        <is>
          <t>TC-SKEL-06</t>
        </is>
      </c>
      <c r="C58" s="26" t="inlineStr">
        <is>
          <t>Design System</t>
        </is>
      </c>
      <c r="D58" s="26" t="inlineStr">
        <is>
          <t>P1</t>
        </is>
      </c>
      <c r="E58" s="26" t="inlineStr">
        <is>
          <t>Critico</t>
        </is>
      </c>
      <c r="F58" s="26" t="inlineStr">
        <is>
          <t>v3.39.4</t>
        </is>
      </c>
      <c r="G58" s="26" t="inlineStr">
        <is>
          <t>Canvas Chart.js oculto durante skeleton</t>
        </is>
      </c>
      <c r="H58" s="26" t="inlineStr">
        <is>
          <t>1. Em dashboard/fluxo-caixa, cold load
2. Inspecionar canvas e skeleton no DOM</t>
        </is>
      </c>
      <c r="I58" s="26" t="inlineStr">
        <is>
          <t>Canvas tem display:none ou visibility:hidden ate dados resolverem; skeleton ocupa o espaco</t>
        </is>
      </c>
      <c r="J58" s="26" t="inlineStr">
        <is>
          <t>NRF-UX F5 + skeletons.js + chart init</t>
        </is>
      </c>
      <c r="K58" s="26" t="inlineStr">
        <is>
          <t>Nao iniciado</t>
        </is>
      </c>
      <c r="L58" s="26" t="n"/>
      <c r="M58" s="26" t="n"/>
    </row>
    <row r="59" ht="45" customHeight="1" s="18">
      <c r="A59" s="24" t="n">
        <v>57</v>
      </c>
      <c r="B59" s="24" t="inlineStr">
        <is>
          <t>TC-SKEL-07</t>
        </is>
      </c>
      <c r="C59" s="24" t="inlineStr">
        <is>
          <t>Design System</t>
        </is>
      </c>
      <c r="D59" s="24" t="inlineStr">
        <is>
          <t>P1</t>
        </is>
      </c>
      <c r="E59" s="24" t="inlineStr">
        <is>
          <t>Critico</t>
        </is>
      </c>
      <c r="F59" s="24" t="inlineStr">
        <is>
          <t>v3.39.4</t>
        </is>
      </c>
      <c r="G59" s="24" t="inlineStr">
        <is>
          <t>Skeleton removido ao render — sem flash de conteudo antigo</t>
        </is>
      </c>
      <c r="H59" s="24" t="inlineStr">
        <is>
          <t>1. Visitar dashboard, sair, voltar (simulando cache hit)
2. Observar transicao</t>
        </is>
      </c>
      <c r="I59" s="24" t="inlineStr">
        <is>
          <t>Sem flash do estado anterior; skeleton &gt;&gt; conteudo novo sem FOUC</t>
        </is>
      </c>
      <c r="J59" s="24" t="inlineStr">
        <is>
          <t>NRF-UX F5</t>
        </is>
      </c>
      <c r="K59" s="24" t="inlineStr">
        <is>
          <t>Nao iniciado</t>
        </is>
      </c>
      <c r="L59" s="24" t="n"/>
      <c r="M59" s="24" t="n"/>
    </row>
    <row r="60" ht="45.75" customHeight="1" s="18">
      <c r="A60" s="26" t="n">
        <v>58</v>
      </c>
      <c r="B60" s="26" t="inlineStr">
        <is>
          <t>TC-SKEL-08</t>
        </is>
      </c>
      <c r="C60" s="26" t="inlineStr">
        <is>
          <t>Design System</t>
        </is>
      </c>
      <c r="D60" s="26" t="inlineStr">
        <is>
          <t>P2</t>
        </is>
      </c>
      <c r="E60" s="26" t="inlineStr">
        <is>
          <t>Smoke</t>
        </is>
      </c>
      <c r="F60" s="26" t="inlineStr">
        <is>
          <t>v3.39.4</t>
        </is>
      </c>
      <c r="G60" s="26" t="inlineStr">
        <is>
          <t>Shimmer CSS sem reflow (performance)</t>
        </is>
      </c>
      <c r="H60" s="26" t="inlineStr">
        <is>
          <t>1. Abrir DevTools &gt; Performance &gt; Record
2. Cold load de dashboard
3. Analisar reflows durante skeleton visible</t>
        </is>
      </c>
      <c r="I60" s="26" t="inlineStr">
        <is>
          <t>Animacao shimmer usa transform/opacity (composite only); sem layout/reflow</t>
        </is>
      </c>
      <c r="J60" s="26" t="inlineStr">
        <is>
          <t>NRF-UX F5 + variables.css shimmer keyframes</t>
        </is>
      </c>
      <c r="K60" s="26" t="inlineStr">
        <is>
          <t>Nao iniciado</t>
        </is>
      </c>
      <c r="L60" s="26" t="n"/>
      <c r="M60" s="26" t="n"/>
    </row>
    <row r="61" ht="45" customHeight="1" s="18">
      <c r="A61" s="24" t="n">
        <v>59</v>
      </c>
      <c r="B61" s="24" t="inlineStr">
        <is>
          <t>TC-SKEL-09</t>
        </is>
      </c>
      <c r="C61" s="24" t="inlineStr">
        <is>
          <t>Design System</t>
        </is>
      </c>
      <c r="D61" s="24" t="inlineStr">
        <is>
          <t>P2</t>
        </is>
      </c>
      <c r="E61" s="24" t="inlineStr">
        <is>
          <t>Smoke</t>
        </is>
      </c>
      <c r="F61" s="24" t="inlineStr">
        <is>
          <t>v3.39.4</t>
        </is>
      </c>
      <c r="G61" s="24" t="inlineStr">
        <is>
          <t>Skeleton ARIA — leitores de tela nao leem como conteudo</t>
        </is>
      </c>
      <c r="H61" s="24" t="inlineStr">
        <is>
          <t>1. Inspecionar skeleton elements
2. Verificar atributos aria-hidden ou role</t>
        </is>
      </c>
      <c r="I61" s="24" t="inlineStr">
        <is>
          <t>Skeletons tem aria-hidden='true' ou role='presentation'; leitores ignoram</t>
        </is>
      </c>
      <c r="J61" s="24" t="inlineStr">
        <is>
          <t>NRF-UX F5 + acessibilidade</t>
        </is>
      </c>
      <c r="K61" s="24" t="inlineStr">
        <is>
          <t>Nao iniciado</t>
        </is>
      </c>
      <c r="L61" s="24" t="n"/>
      <c r="M61" s="24" t="n"/>
    </row>
    <row r="62" ht="45.75" customHeight="1" s="18">
      <c r="A62" s="26" t="n">
        <v>60</v>
      </c>
      <c r="B62" s="26" t="inlineStr">
        <is>
          <t>TC-SPC-01</t>
        </is>
      </c>
      <c r="C62" s="26" t="inlineStr">
        <is>
          <t>Design System</t>
        </is>
      </c>
      <c r="D62" s="26" t="inlineStr">
        <is>
          <t>P1</t>
        </is>
      </c>
      <c r="E62" s="26" t="inlineStr">
        <is>
          <t>Critico</t>
        </is>
      </c>
      <c r="F62" s="26" t="inlineStr">
        <is>
          <t>v3.39.5</t>
        </is>
      </c>
      <c r="G62" s="26" t="inlineStr">
        <is>
          <t>Tokens --space-* aplicados em dashboard.css</t>
        </is>
      </c>
      <c r="H62" s="26" t="inlineStr">
        <is>
          <t>1. Abrir src/css/dashboard.css
2. Grep 'var(--space-' — contar ocorrencias
3. Grep padrao padding/margin numerico fixo (ex: 16px)</t>
        </is>
      </c>
      <c r="I62" s="26" t="inlineStr">
        <is>
          <t>Maioria das regras usa var(--space-0-5 ... --space-12); excecoes justificadas em comentario</t>
        </is>
      </c>
      <c r="J62" s="26" t="inlineStr">
        <is>
          <t>NRF-UX F6 PR #198 + dashboard.css</t>
        </is>
      </c>
      <c r="K62" s="26" t="inlineStr">
        <is>
          <t>Nao iniciado</t>
        </is>
      </c>
      <c r="L62" s="26" t="n"/>
      <c r="M62" s="26" t="n"/>
    </row>
    <row r="63" ht="45.75" customHeight="1" s="18">
      <c r="A63" s="24" t="n">
        <v>61</v>
      </c>
      <c r="B63" s="24" t="inlineStr">
        <is>
          <t>TC-SPC-02</t>
        </is>
      </c>
      <c r="C63" s="24" t="inlineStr">
        <is>
          <t>Design System</t>
        </is>
      </c>
      <c r="D63" s="24" t="inlineStr">
        <is>
          <t>P1</t>
        </is>
      </c>
      <c r="E63" s="24" t="inlineStr">
        <is>
          <t>Critico</t>
        </is>
      </c>
      <c r="F63" s="24" t="inlineStr">
        <is>
          <t>v3.39.5</t>
        </is>
      </c>
      <c r="G63" s="24" t="inlineStr">
        <is>
          <t>Tokens --rhythm-sm/md/lg aplicados em main.css</t>
        </is>
      </c>
      <c r="H63" s="24" t="inlineStr">
        <is>
          <t>1. Abrir src/css/main.css
2. Grep 'var(--rhythm-' — contar
3. Inspecionar card gaps/paddings em runtime</t>
        </is>
      </c>
      <c r="I63" s="24" t="inlineStr">
        <is>
          <t>Ritmo vertical usa --rhythm-sm/md/lg consistentemente; espacamentos visualmente escalonados</t>
        </is>
      </c>
      <c r="J63" s="24" t="inlineStr">
        <is>
          <t>NRF-UX F6 + main.css</t>
        </is>
      </c>
      <c r="K63" s="24" t="inlineStr">
        <is>
          <t>Nao iniciado</t>
        </is>
      </c>
      <c r="L63" s="24" t="n"/>
      <c r="M63" s="24" t="n"/>
    </row>
    <row r="64" ht="45.75" customHeight="1" s="18">
      <c r="A64" s="26" t="n">
        <v>62</v>
      </c>
      <c r="B64" s="26" t="inlineStr">
        <is>
          <t>TC-SPC-03</t>
        </is>
      </c>
      <c r="C64" s="26" t="inlineStr">
        <is>
          <t>Cockpit/Dashboard</t>
        </is>
      </c>
      <c r="D64" s="26" t="inlineStr">
        <is>
          <t>P1</t>
        </is>
      </c>
      <c r="E64" s="26" t="inlineStr">
        <is>
          <t>Critico</t>
        </is>
      </c>
      <c r="F64" s="26" t="inlineStr">
        <is>
          <t>v3.39.5</t>
        </is>
      </c>
      <c r="G64" s="26" t="inlineStr">
        <is>
          <t>Ritmo vertical consistente entre cards Dashboard</t>
        </is>
      </c>
      <c r="H64" s="26" t="inlineStr">
        <is>
          <t>1. Abrir dashboard
2. Medir gaps entre cards com DevTools
3. Comparar com tokens --rhythm</t>
        </is>
      </c>
      <c r="I64" s="26" t="inlineStr">
        <is>
          <t>Todos os gaps entre cards seguem valores dos tokens (sem 'um valor aqui, outro ali')</t>
        </is>
      </c>
      <c r="J64" s="26" t="inlineStr">
        <is>
          <t>NRF-UX F6 + dashboard.css</t>
        </is>
      </c>
      <c r="K64" s="26" t="inlineStr">
        <is>
          <t>Nao iniciado</t>
        </is>
      </c>
      <c r="L64" s="26" t="n"/>
      <c r="M64" s="26" t="n"/>
    </row>
    <row r="65" ht="45" customHeight="1" s="18">
      <c r="A65" s="24" t="n">
        <v>63</v>
      </c>
      <c r="B65" s="24" t="inlineStr">
        <is>
          <t>TC-SPC-04</t>
        </is>
      </c>
      <c r="C65" s="24" t="inlineStr">
        <is>
          <t>Design System</t>
        </is>
      </c>
      <c r="D65" s="24" t="inlineStr">
        <is>
          <t>P2</t>
        </is>
      </c>
      <c r="E65" s="24" t="inlineStr">
        <is>
          <t>Smoke</t>
        </is>
      </c>
      <c r="F65" s="24" t="inlineStr">
        <is>
          <t>v3.39.5</t>
        </is>
      </c>
      <c r="G65" s="24" t="inlineStr">
        <is>
          <t>Mobile &lt;414px — spacing sobrescrito para tokens menores</t>
        </is>
      </c>
      <c r="H65" s="24" t="inlineStr">
        <is>
          <t>1. DevTools responsive mode 414px ou menos
2. Observar gaps e paddings</t>
        </is>
      </c>
      <c r="I65" s="24" t="inlineStr">
        <is>
          <t>Tokens se ajustam para valores menores (media query mobile); touch targets &gt;= 44px mantidos</t>
        </is>
      </c>
      <c r="J65" s="24" t="inlineStr">
        <is>
          <t>NRF-UX F6 + mobile overrides</t>
        </is>
      </c>
      <c r="K65" s="24" t="inlineStr">
        <is>
          <t>Nao iniciado</t>
        </is>
      </c>
      <c r="L65" s="24" t="n"/>
      <c r="M65" s="24" t="n"/>
    </row>
    <row r="66" ht="45.75" customHeight="1" s="18">
      <c r="A66" s="26" t="n">
        <v>64</v>
      </c>
      <c r="B66" s="26" t="inlineStr">
        <is>
          <t>TC-SPC-05</t>
        </is>
      </c>
      <c r="C66" s="26" t="inlineStr">
        <is>
          <t>Design System</t>
        </is>
      </c>
      <c r="D66" s="26" t="inlineStr">
        <is>
          <t>P1</t>
        </is>
      </c>
      <c r="E66" s="26" t="inlineStr">
        <is>
          <t>Critico</t>
        </is>
      </c>
      <c r="F66" s="26" t="inlineStr">
        <is>
          <t>v3.39.5</t>
        </is>
      </c>
      <c r="G66" s="26" t="inlineStr">
        <is>
          <t>Touch targets &gt;= 44px preservados em mobile</t>
        </is>
      </c>
      <c r="H66" s="26" t="inlineStr">
        <is>
          <t>1. Mobile viewport
2. Medir botoes, chips, toggles clicaveis
3. Verificar altura minima</t>
        </is>
      </c>
      <c r="I66" s="26" t="inlineStr">
        <is>
          <t>Todos os elementos clicaveis tem altura &gt;= 44px (Apple HIG)</t>
        </is>
      </c>
      <c r="J66" s="26" t="inlineStr">
        <is>
          <t>NRF-UX F6 + acessibilidade touch</t>
        </is>
      </c>
      <c r="K66" s="26" t="inlineStr">
        <is>
          <t>Nao iniciado</t>
        </is>
      </c>
      <c r="L66" s="26" t="n"/>
      <c r="M66" s="26" t="n"/>
    </row>
    <row r="67" ht="45.75" customHeight="1" s="18">
      <c r="A67" s="24" t="n">
        <v>65</v>
      </c>
      <c r="B67" s="24" t="inlineStr">
        <is>
          <t>TC-CHART-01</t>
        </is>
      </c>
      <c r="C67" s="24" t="inlineStr">
        <is>
          <t>Design System</t>
        </is>
      </c>
      <c r="D67" s="24" t="inlineStr">
        <is>
          <t>P1</t>
        </is>
      </c>
      <c r="E67" s="24" t="inlineStr">
        <is>
          <t>Critico</t>
        </is>
      </c>
      <c r="F67" s="24" t="inlineStr">
        <is>
          <t>v3.39.6</t>
        </is>
      </c>
      <c r="G67" s="24" t="inlineStr">
        <is>
          <t>chartDefaults.js le tokens --font-size-chart-*</t>
        </is>
      </c>
      <c r="H67" s="24" t="inlineStr">
        <is>
          <t>1. Abrir src/js/utils/chartDefaults.js
2. Verificar que le CSS vars via getComputedStyle
3. Abrir dashboard, inspecionar chart labels</t>
        </is>
      </c>
      <c r="I67" s="24" t="inlineStr">
        <is>
          <t>Tipografia dos graficos respeita tokens --font-size-chart-tick/legend e --fw-chart</t>
        </is>
      </c>
      <c r="J67" s="24" t="inlineStr">
        <is>
          <t>NRF-UX F7 PR #199</t>
        </is>
      </c>
      <c r="K67" s="24" t="inlineStr">
        <is>
          <t>Nao iniciado</t>
        </is>
      </c>
      <c r="L67" s="24" t="n"/>
      <c r="M67" s="24" t="n"/>
    </row>
    <row r="68" ht="45" customHeight="1" s="18">
      <c r="A68" s="26" t="n">
        <v>66</v>
      </c>
      <c r="B68" s="26" t="inlineStr">
        <is>
          <t>TC-CHART-02</t>
        </is>
      </c>
      <c r="C68" s="26" t="inlineStr">
        <is>
          <t>Design System</t>
        </is>
      </c>
      <c r="D68" s="26" t="inlineStr">
        <is>
          <t>P2</t>
        </is>
      </c>
      <c r="E68" s="26" t="inlineStr">
        <is>
          <t>Smoke</t>
        </is>
      </c>
      <c r="F68" s="26" t="inlineStr">
        <is>
          <t>v3.39.6</t>
        </is>
      </c>
      <c r="G68" s="26" t="inlineStr">
        <is>
          <t>tabular-nums aplicado em eixos</t>
        </is>
      </c>
      <c r="H68" s="26" t="inlineStr">
        <is>
          <t>1. Abrir grafico em dashboard/fluxo-caixa
2. Inspecionar ticks numericos</t>
        </is>
      </c>
      <c r="I68" s="26" t="inlineStr">
        <is>
          <t>font-variant-numeric: tabular-nums aplicado; numeros alinhados verticalmente</t>
        </is>
      </c>
      <c r="J68" s="26" t="inlineStr">
        <is>
          <t>NRF-UX F7 + chartDefaults.js</t>
        </is>
      </c>
      <c r="K68" s="26" t="inlineStr">
        <is>
          <t>Nao iniciado</t>
        </is>
      </c>
      <c r="L68" s="26" t="n"/>
      <c r="M68" s="26" t="n"/>
    </row>
    <row r="69" ht="45" customHeight="1" s="18">
      <c r="A69" s="24" t="n">
        <v>67</v>
      </c>
      <c r="B69" s="24" t="inlineStr">
        <is>
          <t>TC-CHART-03</t>
        </is>
      </c>
      <c r="C69" s="24" t="inlineStr">
        <is>
          <t>Design System</t>
        </is>
      </c>
      <c r="D69" s="24" t="inlineStr">
        <is>
          <t>P2</t>
        </is>
      </c>
      <c r="E69" s="24" t="inlineStr">
        <is>
          <t>Smoke</t>
        </is>
      </c>
      <c r="F69" s="24" t="inlineStr">
        <is>
          <t>v3.39.6</t>
        </is>
      </c>
      <c r="G69" s="24" t="inlineStr">
        <is>
          <t>Node.js compat — getComputedStyle fallback</t>
        </is>
      </c>
      <c r="H69" s="24" t="inlineStr">
        <is>
          <t>1. Rodar npm test -- chartDefaults
2. Verificar testes de fallback passam</t>
        </is>
      </c>
      <c r="I69" s="24" t="inlineStr">
        <is>
          <t>Testes unitarios cobrem caso de SSR/Node sem window; fallback retorna valores default</t>
        </is>
      </c>
      <c r="J69" s="24" t="inlineStr">
        <is>
          <t>NRF-UX F7 + testes chartDefaults</t>
        </is>
      </c>
      <c r="K69" s="24" t="inlineStr">
        <is>
          <t>Nao iniciado</t>
        </is>
      </c>
      <c r="L69" s="24" t="n"/>
      <c r="M69" s="24" t="n"/>
    </row>
    <row r="70" ht="45.75" customHeight="1" s="18">
      <c r="A70" s="26" t="n">
        <v>68</v>
      </c>
      <c r="B70" s="26" t="inlineStr">
        <is>
          <t>TC-CHART-04</t>
        </is>
      </c>
      <c r="C70" s="26" t="inlineStr">
        <is>
          <t>Design System</t>
        </is>
      </c>
      <c r="D70" s="26" t="inlineStr">
        <is>
          <t>P1</t>
        </is>
      </c>
      <c r="E70" s="26" t="inlineStr">
        <is>
          <t>Critico</t>
        </is>
      </c>
      <c r="F70" s="26" t="inlineStr">
        <is>
          <t>v3.39.6</t>
        </is>
      </c>
      <c r="G70" s="26" t="inlineStr">
        <is>
          <t>Cores Chart.js alinhadas com chartColors.js tokens</t>
        </is>
      </c>
      <c r="H70" s="26" t="inlineStr">
        <is>
          <t>1. Abrir src/js/utils/chartColors.js
2. Verificar que expoe paleta via tokens
3. Inspecionar chart em runtime</t>
        </is>
      </c>
      <c r="I70" s="26" t="inlineStr">
        <is>
          <t>Paleta Chart.js deriva de tokens --color-chart-*; sem hex hardcoded</t>
        </is>
      </c>
      <c r="J70" s="26" t="inlineStr">
        <is>
          <t>NRF-UX F7 + chartColors.js + REGRA INVIOLAVEL 4</t>
        </is>
      </c>
      <c r="K70" s="26" t="inlineStr">
        <is>
          <t>Nao iniciado</t>
        </is>
      </c>
      <c r="L70" s="26" t="n"/>
      <c r="M70" s="26" t="n"/>
    </row>
    <row r="71" ht="45" customHeight="1" s="18">
      <c r="A71" s="24" t="n">
        <v>69</v>
      </c>
      <c r="B71" s="24" t="inlineStr">
        <is>
          <t>TC-UX-01</t>
        </is>
      </c>
      <c r="C71" s="24" t="inlineStr">
        <is>
          <t>Seguranca/UX</t>
        </is>
      </c>
      <c r="D71" s="25" t="inlineStr">
        <is>
          <t>P0</t>
        </is>
      </c>
      <c r="E71" s="24" t="inlineStr">
        <is>
          <t>Critico</t>
        </is>
      </c>
      <c r="F71" s="24" t="inlineStr">
        <is>
          <t>v3.39.7</t>
        </is>
      </c>
      <c r="G71" s="24" t="inlineStr">
        <is>
          <t>Zero alert() em src/</t>
        </is>
      </c>
      <c r="H71" s="24" t="inlineStr">
        <is>
          <t>1. Rodar grep -rn 'alert(' src/
2. Verificar contagem</t>
        </is>
      </c>
      <c r="I71" s="24" t="inlineStr">
        <is>
          <t>Zero ocorrencias de alert() em src/js/ ou src/*.html</t>
        </is>
      </c>
      <c r="J71" s="24" t="inlineStr">
        <is>
          <t>NRF-UX F8 PR #200</t>
        </is>
      </c>
      <c r="K71" s="24" t="inlineStr">
        <is>
          <t>Nao iniciado</t>
        </is>
      </c>
      <c r="L71" s="24" t="n"/>
      <c r="M71" s="24" t="n"/>
    </row>
    <row r="72" ht="60" customHeight="1" s="18">
      <c r="A72" s="26" t="n">
        <v>70</v>
      </c>
      <c r="B72" s="26" t="inlineStr">
        <is>
          <t>TC-UX-02</t>
        </is>
      </c>
      <c r="C72" s="26" t="inlineStr">
        <is>
          <t>Transacoes/Receitas</t>
        </is>
      </c>
      <c r="D72" s="25" t="inlineStr">
        <is>
          <t>P0</t>
        </is>
      </c>
      <c r="E72" s="26" t="inlineStr">
        <is>
          <t>Critico</t>
        </is>
      </c>
      <c r="F72" s="26" t="inlineStr">
        <is>
          <t>v3.39.7</t>
        </is>
      </c>
      <c r="G72" s="26" t="inlineStr">
        <is>
          <t>Modal de erro #rec-modal-erro exibe e fecha</t>
        </is>
      </c>
      <c r="H72" s="26" t="inlineStr">
        <is>
          <t>1. Navbar Transacoes &gt; Receitas
2. Criar receita invalida (valor 0 ou vazio)
3. Observar modal de erro
4. Fechar e verificar DOM</t>
        </is>
      </c>
      <c r="I72" s="26" t="inlineStr">
        <is>
          <t>Modal aparece com mensagem clara; fecha via X/botao/Esc; limpa mensagem ao reabrir</t>
        </is>
      </c>
      <c r="J72" s="26" t="inlineStr">
        <is>
          <t>NRF-UX F8 + receitas.html/js</t>
        </is>
      </c>
      <c r="K72" s="26" t="inlineStr">
        <is>
          <t>Nao iniciado</t>
        </is>
      </c>
      <c r="L72" s="26" t="n"/>
      <c r="M72" s="26" t="n"/>
    </row>
    <row r="73" ht="60" customHeight="1" s="18">
      <c r="A73" s="24" t="n">
        <v>71</v>
      </c>
      <c r="B73" s="24" t="inlineStr">
        <is>
          <t>TC-UX-03</t>
        </is>
      </c>
      <c r="C73" s="24" t="inlineStr">
        <is>
          <t>Config/Contas</t>
        </is>
      </c>
      <c r="D73" s="25" t="inlineStr">
        <is>
          <t>P0</t>
        </is>
      </c>
      <c r="E73" s="24" t="inlineStr">
        <is>
          <t>Critico</t>
        </is>
      </c>
      <c r="F73" s="24" t="inlineStr">
        <is>
          <t>v3.39.7</t>
        </is>
      </c>
      <c r="G73" s="24" t="inlineStr">
        <is>
          <t>Modal #saldo-modal-erro e #cartao-modal-erro</t>
        </is>
      </c>
      <c r="H73" s="24" t="inlineStr">
        <is>
          <t>1. Config &gt; Contas
2. Submeter alteracao de saldo invalida
3. Observar modal
4. Repetir com cartao invalido</t>
        </is>
      </c>
      <c r="I73" s="24" t="inlineStr">
        <is>
          <t>Ambos modais exibem erro especifico; fecham corretamente</t>
        </is>
      </c>
      <c r="J73" s="24" t="inlineStr">
        <is>
          <t>NRF-UX F8 + contas.html/js</t>
        </is>
      </c>
      <c r="K73" s="24" t="inlineStr">
        <is>
          <t>Nao iniciado</t>
        </is>
      </c>
      <c r="L73" s="24" t="n"/>
      <c r="M73" s="24" t="n"/>
    </row>
    <row r="74" ht="45.75" customHeight="1" s="18">
      <c r="A74" s="26" t="n">
        <v>72</v>
      </c>
      <c r="B74" s="26" t="inlineStr">
        <is>
          <t>TC-UX-04</t>
        </is>
      </c>
      <c r="C74" s="26" t="inlineStr">
        <is>
          <t>Historico/Patrimonio</t>
        </is>
      </c>
      <c r="D74" s="25" t="inlineStr">
        <is>
          <t>P0</t>
        </is>
      </c>
      <c r="E74" s="26" t="inlineStr">
        <is>
          <t>Critico</t>
        </is>
      </c>
      <c r="F74" s="26" t="inlineStr">
        <is>
          <t>v3.39.7</t>
        </is>
      </c>
      <c r="G74" s="26" t="inlineStr">
        <is>
          <t>Modal #inv-modal-erro e #pass-modal-erro</t>
        </is>
      </c>
      <c r="H74" s="26" t="inlineStr">
        <is>
          <t>1. Patrimonio &gt; adicionar investimento invalido
2. Observar modal
3. Repetir com passivo extrajudicial invalido</t>
        </is>
      </c>
      <c r="I74" s="26" t="inlineStr">
        <is>
          <t>Modais de investimento e passivo exibem erros; mensagens claras</t>
        </is>
      </c>
      <c r="J74" s="26" t="inlineStr">
        <is>
          <t>NRF-UX F8 + patrimonio.html/js</t>
        </is>
      </c>
      <c r="K74" s="26" t="inlineStr">
        <is>
          <t>Nao iniciado</t>
        </is>
      </c>
      <c r="L74" s="26" t="n"/>
      <c r="M74" s="26" t="n"/>
    </row>
    <row r="75" ht="45" customHeight="1" s="18">
      <c r="A75" s="24" t="n">
        <v>73</v>
      </c>
      <c r="B75" s="24" t="inlineStr">
        <is>
          <t>TC-UX-05</t>
        </is>
      </c>
      <c r="C75" s="24" t="inlineStr">
        <is>
          <t>Transacoes/Despesas</t>
        </is>
      </c>
      <c r="D75" s="25" t="inlineStr">
        <is>
          <t>P0</t>
        </is>
      </c>
      <c r="E75" s="24" t="inlineStr">
        <is>
          <t>Critico</t>
        </is>
      </c>
      <c r="F75" s="24" t="inlineStr">
        <is>
          <t>v3.39.7</t>
        </is>
      </c>
      <c r="G75" s="24" t="inlineStr">
        <is>
          <t>Empty state de Despesas com mes dinamico</t>
        </is>
      </c>
      <c r="H75" s="24" t="inlineStr">
        <is>
          <t>1. Despesas em um mes vazio (sem registros)
2. Observar empty state</t>
        </is>
      </c>
      <c r="I75" s="24" t="inlineStr">
        <is>
          <t>Texto 'Sem despesas em {Mes/Ano}' substitui mensagem generica; CTA para adicionar despesa</t>
        </is>
      </c>
      <c r="J75" s="24" t="inlineStr">
        <is>
          <t>NRF-UX F8 + despesas.js + MF_Microcopy.md</t>
        </is>
      </c>
      <c r="K75" s="24" t="inlineStr">
        <is>
          <t>Nao iniciado</t>
        </is>
      </c>
      <c r="L75" s="24" t="n"/>
      <c r="M75" s="24" t="n"/>
    </row>
    <row r="76" ht="45" customHeight="1" s="18">
      <c r="A76" s="26" t="n">
        <v>74</v>
      </c>
      <c r="B76" s="26" t="inlineStr">
        <is>
          <t>TC-UX-06</t>
        </is>
      </c>
      <c r="C76" s="26" t="inlineStr">
        <is>
          <t>Transacoes/Receitas</t>
        </is>
      </c>
      <c r="D76" s="26" t="inlineStr">
        <is>
          <t>P1</t>
        </is>
      </c>
      <c r="E76" s="26" t="inlineStr">
        <is>
          <t>Smoke</t>
        </is>
      </c>
      <c r="F76" s="26" t="inlineStr">
        <is>
          <t>v3.39.7</t>
        </is>
      </c>
      <c r="G76" s="26" t="inlineStr">
        <is>
          <t>Empty state de Receitas com mes dinamico</t>
        </is>
      </c>
      <c r="H76" s="26" t="inlineStr">
        <is>
          <t>1. Receitas em um mes vazio
2. Observar empty state</t>
        </is>
      </c>
      <c r="I76" s="26" t="inlineStr">
        <is>
          <t>Texto 'Sem receitas em {Mes/Ano}' especifico; nao texto generico</t>
        </is>
      </c>
      <c r="J76" s="26" t="inlineStr">
        <is>
          <t>NRF-UX F8 + receitas.js</t>
        </is>
      </c>
      <c r="K76" s="26" t="inlineStr">
        <is>
          <t>Nao iniciado</t>
        </is>
      </c>
      <c r="L76" s="26" t="n"/>
      <c r="M76" s="26" t="n"/>
    </row>
    <row r="77" ht="45" customHeight="1" s="18">
      <c r="A77" s="24" t="n">
        <v>75</v>
      </c>
      <c r="B77" s="24" t="inlineStr">
        <is>
          <t>TC-UX-07</t>
        </is>
      </c>
      <c r="C77" s="24" t="inlineStr">
        <is>
          <t>Transacoes/Fatura</t>
        </is>
      </c>
      <c r="D77" s="24" t="inlineStr">
        <is>
          <t>P1</t>
        </is>
      </c>
      <c r="E77" s="24" t="inlineStr">
        <is>
          <t>Smoke</t>
        </is>
      </c>
      <c r="F77" s="24" t="inlineStr">
        <is>
          <t>v3.39.7</t>
        </is>
      </c>
      <c r="G77" s="24" t="inlineStr">
        <is>
          <t>Empty state de Fatura</t>
        </is>
      </c>
      <c r="H77" s="24" t="inlineStr">
        <is>
          <t>1. Selecionar cartao sem fatura no mes
2. Observar empty state</t>
        </is>
      </c>
      <c r="I77" s="24" t="inlineStr">
        <is>
          <t>Mensagem contextual (cartao + mes); sem jargao tecnico</t>
        </is>
      </c>
      <c r="J77" s="24" t="inlineStr">
        <is>
          <t>NRF-UX F8 + fatura.js</t>
        </is>
      </c>
      <c r="K77" s="24" t="inlineStr">
        <is>
          <t>Nao iniciado</t>
        </is>
      </c>
      <c r="L77" s="24" t="n"/>
      <c r="M77" s="24" t="n"/>
    </row>
    <row r="78" ht="45" customHeight="1" s="18">
      <c r="A78" s="26" t="n">
        <v>76</v>
      </c>
      <c r="B78" s="26" t="inlineStr">
        <is>
          <t>TC-UX-08</t>
        </is>
      </c>
      <c r="C78" s="26" t="inlineStr">
        <is>
          <t>Transacoes/Base</t>
        </is>
      </c>
      <c r="D78" s="26" t="inlineStr">
        <is>
          <t>P2</t>
        </is>
      </c>
      <c r="E78" s="26" t="inlineStr">
        <is>
          <t>Smoke</t>
        </is>
      </c>
      <c r="F78" s="26" t="inlineStr">
        <is>
          <t>v3.39.7</t>
        </is>
      </c>
      <c r="G78" s="26" t="inlineStr">
        <is>
          <t>Empty state de Base quando filtros zeram resultado</t>
        </is>
      </c>
      <c r="H78" s="26" t="inlineStr">
        <is>
          <t>1. Base &gt; aplicar filtros que nao retornam nada
2. Observar empty state</t>
        </is>
      </c>
      <c r="I78" s="26" t="inlineStr">
        <is>
          <t>Mensagem orientada ('Nenhum resultado para os filtros ativos'); CTA para limpar filtros</t>
        </is>
      </c>
      <c r="J78" s="26" t="inlineStr">
        <is>
          <t>NRF-UX F8 + base-dados.js</t>
        </is>
      </c>
      <c r="K78" s="26" t="inlineStr">
        <is>
          <t>Nao iniciado</t>
        </is>
      </c>
      <c r="L78" s="26" t="n"/>
      <c r="M78" s="26" t="n"/>
    </row>
    <row r="79" ht="45" customHeight="1" s="18">
      <c r="A79" s="24" t="n">
        <v>77</v>
      </c>
      <c r="B79" s="24" t="inlineStr">
        <is>
          <t>TC-UX-09</t>
        </is>
      </c>
      <c r="C79" s="24" t="inlineStr">
        <is>
          <t>Transacoes/Importar</t>
        </is>
      </c>
      <c r="D79" s="24" t="inlineStr">
        <is>
          <t>P1</t>
        </is>
      </c>
      <c r="E79" s="24" t="inlineStr">
        <is>
          <t>Critico</t>
        </is>
      </c>
      <c r="F79" s="24" t="inlineStr">
        <is>
          <t>v3.39.7</t>
        </is>
      </c>
      <c r="G79" s="24" t="inlineStr">
        <is>
          <t>mostrarErroUI substitui alert em falhas de import</t>
        </is>
      </c>
      <c r="H79" s="24" t="inlineStr">
        <is>
          <t>1. Importar arquivo corrompido/vazio
2. Observar feedback de erro</t>
        </is>
      </c>
      <c r="I79" s="24" t="inlineStr">
        <is>
          <t>Erro via toast/modal nao-bloqueante; mensagem clara; sem alert() nativo</t>
        </is>
      </c>
      <c r="J79" s="24" t="inlineStr">
        <is>
          <t>NRF-UX F8 + importar.js + mostrarErroUI</t>
        </is>
      </c>
      <c r="K79" s="24" t="inlineStr">
        <is>
          <t>Nao iniciado</t>
        </is>
      </c>
      <c r="L79" s="24" t="n"/>
      <c r="M79" s="24" t="n"/>
    </row>
    <row r="80" ht="45" customHeight="1" s="18">
      <c r="A80" s="26" t="n">
        <v>78</v>
      </c>
      <c r="B80" s="26" t="inlineStr">
        <is>
          <t>TC-UX-10</t>
        </is>
      </c>
      <c r="C80" s="26" t="inlineStr">
        <is>
          <t>Config/Orcamentos</t>
        </is>
      </c>
      <c r="D80" s="26" t="inlineStr">
        <is>
          <t>P1</t>
        </is>
      </c>
      <c r="E80" s="26" t="inlineStr">
        <is>
          <t>Smoke</t>
        </is>
      </c>
      <c r="F80" s="26" t="inlineStr">
        <is>
          <t>v3.39.7</t>
        </is>
      </c>
      <c r="G80" s="26" t="inlineStr">
        <is>
          <t>mostrarFeedback em orcamentos — erros nao bloqueantes</t>
        </is>
      </c>
      <c r="H80" s="26" t="inlineStr">
        <is>
          <t>1. Orcamentos &gt; salvar com dados invalidos
2. Copiar mes anterior com erro</t>
        </is>
      </c>
      <c r="I80" s="26" t="inlineStr">
        <is>
          <t>Toast de erro aparece sem quebrar fluxo; usuario pode corrigir</t>
        </is>
      </c>
      <c r="J80" s="26" t="inlineStr">
        <is>
          <t>NRF-UX F8 + orcamentos.js</t>
        </is>
      </c>
      <c r="K80" s="26" t="inlineStr">
        <is>
          <t>Nao iniciado</t>
        </is>
      </c>
      <c r="L80" s="26" t="n"/>
      <c r="M80" s="26" t="n"/>
    </row>
    <row r="81" ht="45" customHeight="1" s="18">
      <c r="A81" s="24" t="n">
        <v>79</v>
      </c>
      <c r="B81" s="24" t="inlineStr">
        <is>
          <t>TC-UX-11</t>
        </is>
      </c>
      <c r="C81" s="24" t="inlineStr">
        <is>
          <t>Cockpit/Planejamento</t>
        </is>
      </c>
      <c r="D81" s="24" t="inlineStr">
        <is>
          <t>P1</t>
        </is>
      </c>
      <c r="E81" s="24" t="inlineStr">
        <is>
          <t>Smoke</t>
        </is>
      </c>
      <c r="F81" s="24" t="inlineStr">
        <is>
          <t>v3.39.7</t>
        </is>
      </c>
      <c r="G81" s="24" t="inlineStr">
        <is>
          <t>mostrarFeedback em planejamento — geracao e exclusao</t>
        </is>
      </c>
      <c r="H81" s="24" t="inlineStr">
        <is>
          <t>1. Planejamento &gt; tentar gerar plano com erro
2. Tentar excluir item com erro</t>
        </is>
      </c>
      <c r="I81" s="24" t="inlineStr">
        <is>
          <t>Toast de erro em ambos casos; fluxo preservado</t>
        </is>
      </c>
      <c r="J81" s="24" t="inlineStr">
        <is>
          <t>NRF-UX F8 + planejamento.js</t>
        </is>
      </c>
      <c r="K81" s="24" t="inlineStr">
        <is>
          <t>Nao iniciado</t>
        </is>
      </c>
      <c r="L81" s="24" t="n"/>
      <c r="M81" s="24" t="n"/>
    </row>
    <row r="82" ht="45.75" customHeight="1" s="18">
      <c r="A82" s="26" t="n">
        <v>80</v>
      </c>
      <c r="B82" s="26" t="inlineStr">
        <is>
          <t>TC-UX-12</t>
        </is>
      </c>
      <c r="C82" s="26" t="inlineStr">
        <is>
          <t>Design System</t>
        </is>
      </c>
      <c r="D82" s="26" t="inlineStr">
        <is>
          <t>P2</t>
        </is>
      </c>
      <c r="E82" s="26" t="inlineStr">
        <is>
          <t>Smoke</t>
        </is>
      </c>
      <c r="F82" s="26" t="inlineStr">
        <is>
          <t>v3.39.7</t>
        </is>
      </c>
      <c r="G82" s="26" t="inlineStr">
        <is>
          <t>Mensagens seguem guia MF_Microcopy.md</t>
        </is>
      </c>
      <c r="H82" s="26" t="inlineStr">
        <is>
          <t>1. Abrir docs/MF_Microcopy.md
2. Amostrar 5 mensagens diferentes do app
3. Comparar tom/estrutura</t>
        </is>
      </c>
      <c r="I82" s="26" t="inlineStr">
        <is>
          <t>Mensagens consistentes: verbo+objeto, sem jargao, sem emojis de erro, tom neutro</t>
        </is>
      </c>
      <c r="J82" s="26" t="inlineStr">
        <is>
          <t>NRF-UX F8 + MF_Microcopy.md</t>
        </is>
      </c>
      <c r="K82" s="26" t="inlineStr">
        <is>
          <t>Nao iniciado</t>
        </is>
      </c>
      <c r="L82" s="26" t="n"/>
      <c r="M82" s="26" t="n"/>
    </row>
    <row r="83" ht="60" customHeight="1" s="18">
      <c r="A83" s="24" t="n">
        <v>81</v>
      </c>
      <c r="B83" s="24" t="inlineStr">
        <is>
          <t>TC-CTRL-01</t>
        </is>
      </c>
      <c r="C83" s="24" t="inlineStr">
        <is>
          <t>Config/Categorias</t>
        </is>
      </c>
      <c r="D83" s="24" t="inlineStr">
        <is>
          <t>P2</t>
        </is>
      </c>
      <c r="E83" s="24" t="inlineStr">
        <is>
          <t>Smoke</t>
        </is>
      </c>
      <c r="F83" s="24" t="inlineStr">
        <is>
          <t>v3.39.8</t>
        </is>
      </c>
      <c r="G83" s="24" t="inlineStr">
        <is>
          <t>Criar categoria com emoji (smoke pos-refactor controller)</t>
        </is>
      </c>
      <c r="H83" s="24" t="inlineStr">
        <is>
          <t>1. Config &gt; Categorias
2. Criar nova com emoji
3. Editar e excluir
4. Rodar npm test -- categorias.test</t>
        </is>
      </c>
      <c r="I83" s="24" t="inlineStr">
        <is>
          <t>CRUD funcional; 16 testes unitarios passam</t>
        </is>
      </c>
      <c r="J83" s="24" t="inlineStr">
        <is>
          <t>v3.39.8 PR #209 + tests/controllers/categorias.test.js</t>
        </is>
      </c>
      <c r="K83" s="24" t="inlineStr">
        <is>
          <t>Nao iniciado</t>
        </is>
      </c>
      <c r="L83" s="24" t="n"/>
      <c r="M83" s="24" t="n"/>
    </row>
    <row r="84" ht="45.75" customHeight="1" s="18">
      <c r="A84" s="26" t="n">
        <v>82</v>
      </c>
      <c r="B84" s="26" t="inlineStr">
        <is>
          <t>TC-CTRL-02</t>
        </is>
      </c>
      <c r="C84" s="26" t="inlineStr">
        <is>
          <t>Config/Orcamentos</t>
        </is>
      </c>
      <c r="D84" s="26" t="inlineStr">
        <is>
          <t>P2</t>
        </is>
      </c>
      <c r="E84" s="26" t="inlineStr">
        <is>
          <t>Smoke</t>
        </is>
      </c>
      <c r="F84" s="26" t="inlineStr">
        <is>
          <t>v3.39.8</t>
        </is>
      </c>
      <c r="G84" s="26" t="inlineStr">
        <is>
          <t>Copiar orcamento do mes anterior (pos-refactor)</t>
        </is>
      </c>
      <c r="H84" s="26" t="inlineStr">
        <is>
          <t>1. Orcamentos &gt; acao Copiar do mes anterior
2. Verificar itens replicados
3. Rodar npm test -- orcamentos.test</t>
        </is>
      </c>
      <c r="I84" s="26" t="inlineStr">
        <is>
          <t>Itens copiados com chaves novas; 14 testes unitarios passam</t>
        </is>
      </c>
      <c r="J84" s="26" t="inlineStr">
        <is>
          <t>v3.39.8 + tests/controllers/orcamentos.test.js</t>
        </is>
      </c>
      <c r="K84" s="26" t="inlineStr">
        <is>
          <t>Nao iniciado</t>
        </is>
      </c>
      <c r="L84" s="26" t="n"/>
      <c r="M84" s="26" t="n"/>
    </row>
    <row r="85" ht="45" customHeight="1" s="18">
      <c r="A85" s="24" t="n">
        <v>83</v>
      </c>
      <c r="B85" s="24" t="inlineStr">
        <is>
          <t>TC-CTRL-03</t>
        </is>
      </c>
      <c r="C85" s="24" t="inlineStr">
        <is>
          <t>Cockpit/Planejamento</t>
        </is>
      </c>
      <c r="D85" s="24" t="inlineStr">
        <is>
          <t>P2</t>
        </is>
      </c>
      <c r="E85" s="24" t="inlineStr">
        <is>
          <t>Smoke</t>
        </is>
      </c>
      <c r="F85" s="24" t="inlineStr">
        <is>
          <t>v3.39.8</t>
        </is>
      </c>
      <c r="G85" s="24" t="inlineStr">
        <is>
          <t>autoMatch planejamento case-insensitive (pos-refactor)</t>
        </is>
      </c>
      <c r="H85" s="24" t="inlineStr">
        <is>
          <t>1. Planejamento &gt; usar recurso de matching com nomes em caixas diferentes
2. Rodar npm test -- planejamento.test</t>
        </is>
      </c>
      <c r="I85" s="24" t="inlineStr">
        <is>
          <t>Match ignora maiusculas/minusculas; 32 testes unitarios passam</t>
        </is>
      </c>
      <c r="J85" s="24" t="inlineStr">
        <is>
          <t>v3.39.8 + tests/controllers/planejamento.test.js</t>
        </is>
      </c>
      <c r="K85" s="24" t="inlineStr">
        <is>
          <t>Nao iniciado</t>
        </is>
      </c>
      <c r="L85" s="24" t="n"/>
      <c r="M85" s="24" t="n"/>
    </row>
    <row r="86" ht="45" customHeight="1" s="18">
      <c r="A86" s="26" t="n">
        <v>84</v>
      </c>
      <c r="B86" s="26" t="inlineStr">
        <is>
          <t>TC-CTRL-04</t>
        </is>
      </c>
      <c r="C86" s="26" t="inlineStr">
        <is>
          <t>Transacoes/Receitas</t>
        </is>
      </c>
      <c r="D86" s="26" t="inlineStr">
        <is>
          <t>P2</t>
        </is>
      </c>
      <c r="E86" s="26" t="inlineStr">
        <is>
          <t>Smoke</t>
        </is>
      </c>
      <c r="F86" s="26" t="inlineStr">
        <is>
          <t>v3.39.8</t>
        </is>
      </c>
      <c r="G86" s="26" t="inlineStr">
        <is>
          <t>Render grid receitas dashboard (pos-refactor)</t>
        </is>
      </c>
      <c r="H86" s="26" t="inlineStr">
        <is>
          <t>1. Dashboard/Receitas — observar grid
2. Rodar npm test -- receitas-dashboard.test</t>
        </is>
      </c>
      <c r="I86" s="26" t="inlineStr">
        <is>
          <t>Grid renderiza; 16 testes unitarios passam</t>
        </is>
      </c>
      <c r="J86" s="26" t="inlineStr">
        <is>
          <t>v3.39.8 + tests/controllers/receitas-dashboard.test.js</t>
        </is>
      </c>
      <c r="K86" s="26" t="inlineStr">
        <is>
          <t>Nao iniciado</t>
        </is>
      </c>
      <c r="L86" s="26" t="n"/>
      <c r="M86" s="26" t="n"/>
    </row>
    <row r="87" ht="45.75" customHeight="1" s="18">
      <c r="A87" s="24" t="n">
        <v>85</v>
      </c>
      <c r="B87" s="24" t="inlineStr">
        <is>
          <t>TC-REG-04</t>
        </is>
      </c>
      <c r="C87" s="24" t="inlineStr">
        <is>
          <t>Regressao/Inviolaveis</t>
        </is>
      </c>
      <c r="D87" s="25" t="inlineStr">
        <is>
          <t>P0</t>
        </is>
      </c>
      <c r="E87" s="24" t="inlineStr">
        <is>
          <t>Critico</t>
        </is>
      </c>
      <c r="F87" s="24" t="inlineStr">
        <is>
          <t>v3.39.1</t>
        </is>
      </c>
      <c r="G87" s="24" t="inlineStr">
        <is>
          <t>Regra #14 — PR em src/**/*.html ou css/**/*.css exige ux-reviewer</t>
        </is>
      </c>
      <c r="H87" s="24" t="inlineStr">
        <is>
          <t>1. Consultar ultimos PRs em main que tocaram src/
2. Verificar se relatorio ux-reviewer foi anexado
3. Se nao, ligar alerta</t>
        </is>
      </c>
      <c r="I87" s="24" t="inlineStr">
        <is>
          <t>Todo PR que toca HTML/CSS ou templates innerHTML tem relatorio ux-reviewer em comentario/descricao</t>
        </is>
      </c>
      <c r="J87" s="24" t="inlineStr">
        <is>
          <t>REGRA INVIOLAVEL 14 (CLAUDE.md + AGENTS.md + BUSSOLA §12.5)</t>
        </is>
      </c>
      <c r="K87" s="24" t="inlineStr">
        <is>
          <t>Nao iniciado</t>
        </is>
      </c>
      <c r="L87" s="24" t="n"/>
      <c r="M87" s="24" t="n"/>
    </row>
    <row r="88" ht="110" customHeight="1" s="18">
      <c r="A88" s="27" t="n">
        <v>86</v>
      </c>
      <c r="B88" s="27" t="inlineStr">
        <is>
          <t>TC-EMPTY-01</t>
        </is>
      </c>
      <c r="C88" s="27" t="inlineStr">
        <is>
          <t>Fatura</t>
        </is>
      </c>
      <c r="D88" s="28" t="inlineStr">
        <is>
          <t>P1</t>
        </is>
      </c>
      <c r="E88" s="27" t="inlineStr">
        <is>
          <t>Novo</t>
        </is>
      </c>
      <c r="F88" s="27" t="inlineStr">
        <is>
          <t>v3.40.0</t>
        </is>
      </c>
      <c r="G88" s="27" t="inlineStr">
        <is>
          <t>Empty state Cenario A — fatura sem dados no mes</t>
        </is>
      </c>
      <c r="H88" s="27" t="inlineStr">
        <is>
          <t>1. Acessar /fatura.html em mes SEM despesas de cartao (ex: mes futuro ou mes antigo sem dados)
2. Observar area principal</t>
        </is>
      </c>
      <c r="I88" s="27" t="inlineStr">
        <is>
          <t>Empty state exibe SVG inbox, titulo factual direto (ex: 'Sem despesas de cartao neste mes'), hint e CTA primario adaptado para 'importar'; NAO mostra texto de erro; usa tokens (--color-text-muted, --space-*)</t>
        </is>
      </c>
      <c r="J88" s="27" t="inlineStr">
        <is>
          <t>ENH-007 / CLAUDE.md #14 ux-reviewer</t>
        </is>
      </c>
      <c r="K88" s="27" t="inlineStr">
        <is>
          <t>Nao iniciado</t>
        </is>
      </c>
      <c r="L88" s="27" t="n"/>
      <c r="M88" s="27" t="n"/>
    </row>
    <row r="89" ht="110" customHeight="1" s="18">
      <c r="A89" s="27" t="n">
        <v>87</v>
      </c>
      <c r="B89" s="27" t="inlineStr">
        <is>
          <t>TC-EMPTY-02</t>
        </is>
      </c>
      <c r="C89" s="27" t="inlineStr">
        <is>
          <t>Fatura</t>
        </is>
      </c>
      <c r="D89" s="28" t="inlineStr">
        <is>
          <t>P1</t>
        </is>
      </c>
      <c r="E89" s="27" t="inlineStr">
        <is>
          <t>Novo</t>
        </is>
      </c>
      <c r="F89" s="27" t="inlineStr">
        <is>
          <t>v3.40.0</t>
        </is>
      </c>
      <c r="G89" s="27" t="inlineStr">
        <is>
          <t>Empty state Cenario B — fatura com busca sem resultados</t>
        </is>
      </c>
      <c r="H89" s="27" t="inlineStr">
        <is>
          <t>1. Acessar /fatura.html em mes COM despesas
2. No campo de busca/filtro, digitar string que nao existe (ex: 'xyzqwerty')
3. Observar area da tabela/lista</t>
        </is>
      </c>
      <c r="I89" s="27" t="inlineStr">
        <is>
          <t>Empty state tipo filtro aparece com SVG filter, titulo contextual ('Nada encontrado para "xyzqwerty"'), CTA secundario 'Limpar busca'; ao clicar em 'Limpar busca', filtro reseta e dados voltam</t>
        </is>
      </c>
      <c r="J89" s="27" t="inlineStr">
        <is>
          <t>ENH-007</t>
        </is>
      </c>
      <c r="K89" s="27" t="inlineStr">
        <is>
          <t>Nao iniciado</t>
        </is>
      </c>
      <c r="L89" s="27" t="n"/>
      <c r="M89" s="27" t="n"/>
    </row>
    <row r="90" ht="110" customHeight="1" s="18">
      <c r="A90" s="27" t="n">
        <v>88</v>
      </c>
      <c r="B90" s="27" t="inlineStr">
        <is>
          <t>TC-EMPTY-03</t>
        </is>
      </c>
      <c r="C90" s="27" t="inlineStr">
        <is>
          <t>Fluxo de Caixa</t>
        </is>
      </c>
      <c r="D90" s="28" t="inlineStr">
        <is>
          <t>P1</t>
        </is>
      </c>
      <c r="E90" s="27" t="inlineStr">
        <is>
          <t>Novo</t>
        </is>
      </c>
      <c r="F90" s="27" t="inlineStr">
        <is>
          <t>v3.40.0</t>
        </is>
      </c>
      <c r="G90" s="27" t="inlineStr">
        <is>
          <t>Empty state Cenario A — fluxo-caixa sem dados no ano</t>
        </is>
      </c>
      <c r="H90" s="27" t="inlineStr">
        <is>
          <t>1. Acessar /fluxo-caixa.html
2. Selecionar ano SEM despesas/receitas registradas
3. Observar area principal</t>
        </is>
      </c>
      <c r="I90" s="27" t="inlineStr">
        <is>
          <t>Empty state exibe SVG bar-chart, titulo com interpolacao do ano (ex: 'Sem movimentos em 2020'), CTA primario adaptado para 'adicionar despesa'; usa helper emptyStateHTML do skeletons.js</t>
        </is>
      </c>
      <c r="J90" s="27" t="inlineStr">
        <is>
          <t>ENH-007</t>
        </is>
      </c>
      <c r="K90" s="27" t="inlineStr">
        <is>
          <t>Nao iniciado</t>
        </is>
      </c>
      <c r="L90" s="27" t="n"/>
      <c r="M90" s="27" t="n"/>
    </row>
    <row r="91" ht="110" customHeight="1" s="18">
      <c r="A91" s="27" t="n">
        <v>89</v>
      </c>
      <c r="B91" s="27" t="inlineStr">
        <is>
          <t>TC-EMPTY-04</t>
        </is>
      </c>
      <c r="C91" s="27" t="inlineStr">
        <is>
          <t>Fluxo de Caixa</t>
        </is>
      </c>
      <c r="D91" s="28" t="inlineStr">
        <is>
          <t>P2</t>
        </is>
      </c>
      <c r="E91" s="27" t="inlineStr">
        <is>
          <t>Novo</t>
        </is>
      </c>
      <c r="F91" s="27" t="inlineStr">
        <is>
          <t>v3.40.0</t>
        </is>
      </c>
      <c r="G91" s="27" t="inlineStr">
        <is>
          <t>Empty state bonus — forecast vazio (entregue fora do escopo original)</t>
        </is>
      </c>
      <c r="H91" s="27" t="inlineStr">
        <is>
          <t>1. Acessar /fluxo-caixa.html em ano sem projecoes futuras
2. Navegar ate secao de forecast / projecoes
3. Observar quando nao ha dados de forecast</t>
        </is>
      </c>
      <c r="I91" s="27" t="inlineStr">
        <is>
          <t>Empty state dedicado aparece na secao forecast com SVG bar-chart ou check-circle, texto factual sobre ausencia de projecoes</t>
        </is>
      </c>
      <c r="J91" s="27" t="inlineStr">
        <is>
          <t>ENH-007 (bonus entregue pelo DM)</t>
        </is>
      </c>
      <c r="K91" s="27" t="inlineStr">
        <is>
          <t>Nao iniciado</t>
        </is>
      </c>
      <c r="L91" s="27" t="n"/>
      <c r="M91" s="27" t="n"/>
    </row>
    <row r="92" ht="110" customHeight="1" s="18">
      <c r="A92" s="27" t="n">
        <v>90</v>
      </c>
      <c r="B92" s="27" t="inlineStr">
        <is>
          <t>TC-EMPTY-05</t>
        </is>
      </c>
      <c r="C92" s="27" t="inlineStr">
        <is>
          <t>Fluxo de Caixa</t>
        </is>
      </c>
      <c r="D92" s="28" t="inlineStr">
        <is>
          <t>P2</t>
        </is>
      </c>
      <c r="E92" s="27" t="inlineStr">
        <is>
          <t>Novo</t>
        </is>
      </c>
      <c r="F92" s="27" t="inlineStr">
        <is>
          <t>v3.40.0</t>
        </is>
      </c>
      <c r="G92" s="27" t="inlineStr">
        <is>
          <t>Empty state bonus — parcelas/compromissos vazios</t>
        </is>
      </c>
      <c r="H92" s="27" t="inlineStr">
        <is>
          <t>1. Acessar /fluxo-caixa.html em mes sem parcelas ativas e sem compromissos
2. Navegar ate secao de compromissos / parcelas
3. Observar area sem dados</t>
        </is>
      </c>
      <c r="I92" s="27" t="inlineStr">
        <is>
          <t>Empty state dedicado aparece com SVG check-circle, texto positivo-neutro (ex: 'Sem compromissos programados' ou 'Nada parcelado neste mes')</t>
        </is>
      </c>
      <c r="J92" s="27" t="inlineStr">
        <is>
          <t>ENH-007 (bonus entregue pelo DM)</t>
        </is>
      </c>
      <c r="K92" s="27" t="inlineStr">
        <is>
          <t>Nao iniciado</t>
        </is>
      </c>
      <c r="L92" s="27" t="n"/>
      <c r="M92" s="27" t="n"/>
    </row>
    <row r="93" ht="110" customHeight="1" s="18">
      <c r="A93" s="27" t="n">
        <v>91</v>
      </c>
      <c r="B93" s="27" t="inlineStr">
        <is>
          <t>TC-EMPTY-06</t>
        </is>
      </c>
      <c r="C93" s="27" t="inlineStr">
        <is>
          <t>UX — Empty States</t>
        </is>
      </c>
      <c r="D93" s="28" t="inlineStr">
        <is>
          <t>P1</t>
        </is>
      </c>
      <c r="E93" s="27" t="inlineStr">
        <is>
          <t>Novo</t>
        </is>
      </c>
      <c r="F93" s="27" t="inlineStr">
        <is>
          <t>v3.40.0</t>
        </is>
      </c>
      <c r="G93" s="27" t="inlineStr">
        <is>
          <t>emptyStateHTML helper — acessibilidade e tokens</t>
        </is>
      </c>
      <c r="H93" s="27" t="inlineStr">
        <is>
          <t>1. Abrir DevTools em /fatura.html com empty state ativo (Cenario A do TC-EMPTY-01)
2. Inspecionar o bloco do empty state
3. Validar atributos ARIA e computed styles</t>
        </is>
      </c>
      <c r="I93" s="27" t="inlineStr">
        <is>
          <t>Elemento tem role='status' na raiz e aria-hidden='true' no icone; espacamento, cor e tipografia vem de CSS vars (--color-text-muted, --space-4, --space-2, --space-6); nenhuma cor hex hardcoded no inline style</t>
        </is>
      </c>
      <c r="J93" s="27" t="inlineStr">
        <is>
          <t>ENH-007 / CLAUDE.md #4 (cores hardcoded) / #14 ux-reviewer</t>
        </is>
      </c>
      <c r="K93" s="27" t="inlineStr">
        <is>
          <t>Nao iniciado</t>
        </is>
      </c>
      <c r="L93" s="27" t="n"/>
      <c r="M93" s="27" t="n"/>
    </row>
    <row r="94" ht="110" customHeight="1" s="18">
      <c r="A94" s="27" t="n">
        <v>92</v>
      </c>
      <c r="B94" s="27" t="inlineStr">
        <is>
          <t>TC-CHART-05</t>
        </is>
      </c>
      <c r="C94" s="27" t="inlineStr">
        <is>
          <t>Fluxo de Caixa (graficos)</t>
        </is>
      </c>
      <c r="D94" s="28" t="inlineStr">
        <is>
          <t>P1</t>
        </is>
      </c>
      <c r="E94" s="27" t="inlineStr">
        <is>
          <t>Novo</t>
        </is>
      </c>
      <c r="F94" s="27" t="inlineStr">
        <is>
          <t>v3.40.0</t>
        </is>
      </c>
      <c r="G94" s="27" t="inlineStr">
        <is>
          <t>Graficos de fluxo-caixa usam tokens semanticos + paleta categorica</t>
        </is>
      </c>
      <c r="H94" s="27" t="inlineStr">
        <is>
          <t>1. Acessar /fluxo-caixa.html com dados
2. Observar os graficos (barras/linhas/pizza conforme existente)
3. Abrir DevTools &gt; Elements e inspecionar as cores das series no canvas via JS (document.querySelector) ou via visual check
4. Grep em src/js/pages/fluxo-caixa.js por rgba(/hex</t>
        </is>
      </c>
      <c r="I94" s="27" t="inlineStr">
        <is>
          <t>Series usam cores obtidas de getChartColors() (CSS vars) para semanticas + CORES_CATEGORIA[i % 12] para categoricas; zero cores hardcoded em fluxo-caixa.js; gradientes positivo/negativo vem de --chart-positive/--chart-negative</t>
        </is>
      </c>
      <c r="J94" s="27" t="inlineStr">
        <is>
          <t>RF-071 / CLAUDE.md #4</t>
        </is>
      </c>
      <c r="K94" s="27" t="inlineStr">
        <is>
          <t>Nao iniciado</t>
        </is>
      </c>
      <c r="L94" s="27" t="n"/>
      <c r="M94" s="27" t="n"/>
    </row>
    <row r="95" ht="110" customHeight="1" s="18">
      <c r="A95" s="27" t="n">
        <v>93</v>
      </c>
      <c r="B95" s="27" t="inlineStr">
        <is>
          <t>TC-CHART-06</t>
        </is>
      </c>
      <c r="C95" s="27" t="inlineStr">
        <is>
          <t>Patrimonio (graficos)</t>
        </is>
      </c>
      <c r="D95" s="28" t="inlineStr">
        <is>
          <t>P1</t>
        </is>
      </c>
      <c r="E95" s="27" t="inlineStr">
        <is>
          <t>Novo</t>
        </is>
      </c>
      <c r="F95" s="27" t="inlineStr">
        <is>
          <t>v3.40.0</t>
        </is>
      </c>
      <c r="G95" s="27" t="inlineStr">
        <is>
          <t>Graficos de patrimonio usam tokens + paleta categorica</t>
        </is>
      </c>
      <c r="H95" s="27" t="inlineStr">
        <is>
          <t>1. Acessar /patrimonio.html com ativos/passivos cadastrados
2. Observar graficos (pizza, evolucao)
3. Grep em src/js/pages/patrimonio.js por rgba(/hex</t>
        </is>
      </c>
      <c r="I95" s="27" t="inlineStr">
        <is>
          <t>Cores das fatias/linhas vem de CORES_CATEGORIA (Tableau10/Carbon); zero cores hardcoded em patrimonio.js; contraste preserva WCAG AA</t>
        </is>
      </c>
      <c r="J95" s="27" t="inlineStr">
        <is>
          <t>RF-071 / CLAUDE.md #4</t>
        </is>
      </c>
      <c r="K95" s="27" t="inlineStr">
        <is>
          <t>Nao iniciado</t>
        </is>
      </c>
      <c r="L95" s="27" t="n"/>
      <c r="M95" s="27" t="n"/>
    </row>
    <row r="96" ht="110" customHeight="1" s="18">
      <c r="A96" s="27" t="n">
        <v>94</v>
      </c>
      <c r="B96" s="27" t="inlineStr">
        <is>
          <t>TC-CHART-07</t>
        </is>
      </c>
      <c r="C96" s="27" t="inlineStr">
        <is>
          <t>Regressao — Chart.js tokens</t>
        </is>
      </c>
      <c r="D96" s="28" t="inlineStr">
        <is>
          <t>P1</t>
        </is>
      </c>
      <c r="E96" s="27" t="inlineStr">
        <is>
          <t>Regressao</t>
        </is>
      </c>
      <c r="F96" s="27" t="inlineStr">
        <is>
          <t>v3.40.0</t>
        </is>
      </c>
      <c r="G96" s="27" t="inlineStr">
        <is>
          <t>Helper getChartColors() e constante CORES_CATEGORIA disponiveis e corretos</t>
        </is>
      </c>
      <c r="H96" s="27" t="inlineStr">
        <is>
          <t>1. Abrir src/js/utils/chartColors.js no repositorio
2. Validar que getChartColors() le CSS vars (--chart-grid, --chart-point-border, --chart-positive, --chart-negative, etc.)
3. Validar que CORES_CATEGORIA e array de 12 hex (Tableau10 ou IBM Carbon)
4. Validar corPorIndice(i) faz modulo por 12</t>
        </is>
      </c>
      <c r="I96" s="27" t="inlineStr">
        <is>
          <t>Helpers exportados corretamente; 12 cores categoricas; dark mode override existe em variables.css para --chart-grid e --chart-point-border</t>
        </is>
      </c>
      <c r="J96" s="27" t="inlineStr">
        <is>
          <t>RF-071</t>
        </is>
      </c>
      <c r="K96" s="27" t="inlineStr">
        <is>
          <t>Nao iniciado</t>
        </is>
      </c>
      <c r="L96" s="27" t="n"/>
      <c r="M96" s="27" t="n"/>
    </row>
    <row r="97" ht="110" customHeight="1" s="18">
      <c r="A97" s="27" t="n">
        <v>95</v>
      </c>
      <c r="B97" s="27" t="inlineStr">
        <is>
          <t>TC-COCKPIT-01</t>
        </is>
      </c>
      <c r="C97" s="27" t="inlineStr">
        <is>
          <t>Dashboard (mobile)</t>
        </is>
      </c>
      <c r="D97" s="28" t="inlineStr">
        <is>
          <t>P1</t>
        </is>
      </c>
      <c r="E97" s="27" t="inlineStr">
        <is>
          <t>Novo</t>
        </is>
      </c>
      <c r="F97" s="27" t="inlineStr">
        <is>
          <t>v3.40.0</t>
        </is>
      </c>
      <c r="G97" s="27" t="inlineStr">
        <is>
          <t>Dashboard em viewport &lt;414px com cards KPI e CTAs ajustados</t>
        </is>
      </c>
      <c r="H97" s="27" t="inlineStr">
        <is>
          <t>1. Abrir DevTools &gt; Device emulation
2. Definir viewport 390x844 (iPhone 12/13/14 mini proxy) OU 375x812 (iPhone SE 3a gen)
3. Acessar /dashboard.html
4. Auditar espacamento, tamanho de cards KPI, CTAs</t>
        </is>
      </c>
      <c r="I97" s="27" t="inlineStr">
        <is>
          <t>Media query @media (max-width: 413px) ativa; cards KPI com hierarquia clara; CTAs com tap target &gt;= 44x44pt; hero com espacamento reduzido mas legibilidade preservada; nenhum overflow horizontal</t>
        </is>
      </c>
      <c r="J97" s="27" t="inlineStr">
        <is>
          <t>ENH-006</t>
        </is>
      </c>
      <c r="K97" s="27" t="inlineStr">
        <is>
          <t>Nao iniciado</t>
        </is>
      </c>
      <c r="L97" s="27" t="n"/>
      <c r="M97" s="27" t="n"/>
    </row>
    <row r="98" ht="110" customHeight="1" s="18">
      <c r="A98" s="27" t="n">
        <v>96</v>
      </c>
      <c r="B98" s="27" t="inlineStr">
        <is>
          <t>TC-COCKPIT-02</t>
        </is>
      </c>
      <c r="C98" s="27" t="inlineStr">
        <is>
          <t>Patrimonio (mobile)</t>
        </is>
      </c>
      <c r="D98" s="28" t="inlineStr">
        <is>
          <t>P1</t>
        </is>
      </c>
      <c r="E98" s="27" t="inlineStr">
        <is>
          <t>Novo</t>
        </is>
      </c>
      <c r="F98" s="27" t="inlineStr">
        <is>
          <t>v3.40.0</t>
        </is>
      </c>
      <c r="G98" s="27" t="inlineStr">
        <is>
          <t>Patrimonio em viewport &lt;414px — hero + cards compactos</t>
        </is>
      </c>
      <c r="H98" s="27" t="inlineStr">
        <is>
          <t>1. Viewport 375x812
2. Acessar /patrimonio.html com ativos e passivos
3. Validar hero, cards de totalizadores (Ativo/Passivo/Liquido), listagens</t>
        </is>
      </c>
      <c r="I98" s="27" t="inlineStr">
        <is>
          <t>Cards KPI em grid compacto; CTAs com tap target &gt;= 44x44pt; espacamento vertical reduzido mas respiracao preservada; sem cortes de texto</t>
        </is>
      </c>
      <c r="J98" s="27" t="inlineStr">
        <is>
          <t>ENH-006</t>
        </is>
      </c>
      <c r="K98" s="27" t="inlineStr">
        <is>
          <t>Nao iniciado</t>
        </is>
      </c>
      <c r="L98" s="27" t="n"/>
      <c r="M98" s="27" t="n"/>
    </row>
    <row r="99" ht="110" customHeight="1" s="18">
      <c r="A99" s="27" t="n">
        <v>97</v>
      </c>
      <c r="B99" s="27" t="inlineStr">
        <is>
          <t>TC-COCKPIT-03</t>
        </is>
      </c>
      <c r="C99" s="27" t="inlineStr">
        <is>
          <t>Fluxo de Caixa (mobile)</t>
        </is>
      </c>
      <c r="D99" s="28" t="inlineStr">
        <is>
          <t>P1</t>
        </is>
      </c>
      <c r="E99" s="27" t="inlineStr">
        <is>
          <t>Novo</t>
        </is>
      </c>
      <c r="F99" s="27" t="inlineStr">
        <is>
          <t>v3.40.0</t>
        </is>
      </c>
      <c r="G99" s="27" t="inlineStr">
        <is>
          <t>Fluxo de Caixa em viewport &lt;414px</t>
        </is>
      </c>
      <c r="H99" s="27" t="inlineStr">
        <is>
          <t>1. Viewport 360x780 (Android compacto proxy)
2. Acessar /fluxo-caixa.html
3. Validar hero, cards KPI (saldo, entradas, saidas), graficos</t>
        </is>
      </c>
      <c r="I99" s="27" t="inlineStr">
        <is>
          <t>Layout nao quebra; graficos Chart.js respeitam responsive: true; cards em coluna unica com spacing reduzido; tipografia legivel (nao menor que --font-size-sm)</t>
        </is>
      </c>
      <c r="J99" s="27" t="inlineStr">
        <is>
          <t>ENH-006</t>
        </is>
      </c>
      <c r="K99" s="27" t="inlineStr">
        <is>
          <t>Nao iniciado</t>
        </is>
      </c>
      <c r="L99" s="27" t="n"/>
      <c r="M99" s="27" t="n"/>
    </row>
    <row r="100" ht="110" customHeight="1" s="18">
      <c r="A100" s="27" t="n">
        <v>98</v>
      </c>
      <c r="B100" s="27" t="inlineStr">
        <is>
          <t>TC-COCKPIT-04</t>
        </is>
      </c>
      <c r="C100" s="27" t="inlineStr">
        <is>
          <t>Orcamentos (mobile)</t>
        </is>
      </c>
      <c r="D100" s="28" t="inlineStr">
        <is>
          <t>P1</t>
        </is>
      </c>
      <c r="E100" s="27" t="inlineStr">
        <is>
          <t>Novo</t>
        </is>
      </c>
      <c r="F100" s="27" t="inlineStr">
        <is>
          <t>v3.40.0</t>
        </is>
      </c>
      <c r="G100" s="27" t="inlineStr">
        <is>
          <t>Orcamentos em viewport &lt;414px — regressao de auditoria multi-device</t>
        </is>
      </c>
      <c r="H100" s="27" t="inlineStr">
        <is>
          <t>1. Auditar em sequencia: 360x780, 375x812, 390x844, 413x896 (iPhone 8 Plus/XR proxy), 414x896 (XR/11 Pro Max)
2. Acessar /orcamentos.html em cada viewport
3. Validar que breakpoint 413px ativa SOMENTE abaixo de 414px</t>
        </is>
      </c>
      <c r="I100" s="27" t="inlineStr">
        <is>
          <t>Em 360/375/390/413: media query ativa, layout compacto; em 414+: layout padrao volta; nao ha regressao em desktop; zero overflow horizontal em nenhum viewport</t>
        </is>
      </c>
      <c r="J100" s="27" t="inlineStr">
        <is>
          <t>ENH-006 / CLAUDE.md #14 ux-reviewer</t>
        </is>
      </c>
      <c r="K100" s="27" t="inlineStr">
        <is>
          <t>Nao iniciado</t>
        </is>
      </c>
      <c r="L100" s="27" t="n"/>
      <c r="M100" s="27" t="n"/>
    </row>
    <row r="101" ht="15" customHeight="1" s="18"/>
    <row r="102" ht="15" customHeight="1" s="18"/>
    <row r="103">
      <c r="A103" s="29" t="inlineStr">
        <is>
          <t>DASHBOARD DE PROGRESSO</t>
        </is>
      </c>
    </row>
    <row r="104">
      <c r="A104" s="30" t="inlineStr">
        <is>
          <t>Por Status</t>
        </is>
      </c>
    </row>
    <row r="105">
      <c r="A105" s="30" t="inlineStr">
        <is>
          <t>Status</t>
        </is>
      </c>
      <c r="B105" s="30" t="inlineStr">
        <is>
          <t>Contagem</t>
        </is>
      </c>
      <c r="C105" s="30" t="inlineStr">
        <is>
          <t>% do total</t>
        </is>
      </c>
    </row>
    <row r="106">
      <c r="A106" t="inlineStr">
        <is>
          <t>Nao iniciado</t>
        </is>
      </c>
      <c r="B106">
        <f>COUNTIF(K3:K100,"Nao iniciado")</f>
        <v/>
      </c>
      <c r="C106" s="31">
        <f>IFERROR(B106/98,0)</f>
        <v/>
      </c>
    </row>
    <row r="107">
      <c r="A107" t="inlineStr">
        <is>
          <t>Em execucao</t>
        </is>
      </c>
      <c r="B107">
        <f>COUNTIF(K3:K100,"Em execucao")</f>
        <v/>
      </c>
      <c r="C107" s="31">
        <f>IFERROR(B107/98,0)</f>
        <v/>
      </c>
    </row>
    <row r="108">
      <c r="A108" t="inlineStr">
        <is>
          <t>PASS</t>
        </is>
      </c>
      <c r="B108">
        <f>COUNTIF(K3:K100,"PASS")</f>
        <v/>
      </c>
      <c r="C108" s="31">
        <f>IFERROR(B108/98,0)</f>
        <v/>
      </c>
    </row>
    <row r="109">
      <c r="A109" t="inlineStr">
        <is>
          <t>FAIL</t>
        </is>
      </c>
      <c r="B109">
        <f>COUNTIF(K3:K100,"FAIL")</f>
        <v/>
      </c>
      <c r="C109" s="31">
        <f>IFERROR(B109/98,0)</f>
        <v/>
      </c>
    </row>
    <row r="110">
      <c r="A110" t="inlineStr">
        <is>
          <t>N/A</t>
        </is>
      </c>
      <c r="B110">
        <f>COUNTIF(K3:K100,"N/A")</f>
        <v/>
      </c>
      <c r="C110" s="31">
        <f>IFERROR(B110/98,0)</f>
        <v/>
      </c>
    </row>
    <row r="111">
      <c r="A111" t="inlineStr">
        <is>
          <t>BLOCKED</t>
        </is>
      </c>
      <c r="B111">
        <f>COUNTIF(K3:K100,"BLOCKED")</f>
        <v/>
      </c>
      <c r="C111" s="31">
        <f>IFERROR(B111/98,0)</f>
        <v/>
      </c>
    </row>
    <row r="113">
      <c r="A113" s="30" t="inlineStr">
        <is>
          <t>Por Origem</t>
        </is>
      </c>
    </row>
    <row r="114">
      <c r="A114" s="30" t="inlineStr">
        <is>
          <t>Origem</t>
        </is>
      </c>
      <c r="B114" s="30" t="inlineStr">
        <is>
          <t>PASS</t>
        </is>
      </c>
      <c r="C114" s="30" t="inlineStr">
        <is>
          <t>FAIL</t>
        </is>
      </c>
      <c r="D114" s="30" t="inlineStr">
        <is>
          <t>Pendentes</t>
        </is>
      </c>
    </row>
    <row r="115">
      <c r="A115" t="inlineStr">
        <is>
          <t>v3.38.0</t>
        </is>
      </c>
      <c r="B115">
        <f>COUNTIFS(F3:F100,"v3.38.0",K3:K100,"PASS")</f>
        <v/>
      </c>
      <c r="C115">
        <f>COUNTIFS(F3:F100,"v3.38.0",K3:K100,"FAIL")</f>
        <v/>
      </c>
      <c r="D115">
        <f>COUNTIFS(F3:F100,"v3.38.0",K3:K100,"Nao iniciado")+COUNTIFS(F3:F100,"v3.38.0",K3:K100,"Em execucao")+COUNTIFS(F3:F100,"v3.38.0",K3:K100,"BLOCKED")</f>
        <v/>
      </c>
    </row>
    <row r="116">
      <c r="A116" t="inlineStr">
        <is>
          <t>v3.39.0</t>
        </is>
      </c>
      <c r="B116">
        <f>COUNTIFS(F3:F100,"v3.39.0",K3:K100,"PASS")</f>
        <v/>
      </c>
      <c r="C116">
        <f>COUNTIFS(F3:F100,"v3.39.0",K3:K100,"FAIL")</f>
        <v/>
      </c>
      <c r="D116">
        <f>COUNTIFS(F3:F100,"v3.39.0",K3:K100,"Nao iniciado")+COUNTIFS(F3:F100,"v3.39.0",K3:K100,"Em execucao")+COUNTIFS(F3:F100,"v3.39.0",K3:K100,"BLOCKED")</f>
        <v/>
      </c>
    </row>
    <row r="117">
      <c r="A117" t="inlineStr">
        <is>
          <t>v3.39.1</t>
        </is>
      </c>
      <c r="B117">
        <f>COUNTIFS(F3:F100,"v3.39.1",K3:K100,"PASS")</f>
        <v/>
      </c>
      <c r="C117">
        <f>COUNTIFS(F3:F100,"v3.39.1",K3:K100,"FAIL")</f>
        <v/>
      </c>
      <c r="D117">
        <f>COUNTIFS(F3:F100,"v3.39.1",K3:K100,"Nao iniciado")+COUNTIFS(F3:F100,"v3.39.1",K3:K100,"Em execucao")+COUNTIFS(F3:F100,"v3.39.1",K3:K100,"BLOCKED")</f>
        <v/>
      </c>
    </row>
    <row r="118">
      <c r="A118" t="inlineStr">
        <is>
          <t>v3.39.2</t>
        </is>
      </c>
      <c r="B118">
        <f>COUNTIFS(F3:F100,"v3.39.2",K3:K100,"PASS")</f>
        <v/>
      </c>
      <c r="C118">
        <f>COUNTIFS(F3:F100,"v3.39.2",K3:K100,"FAIL")</f>
        <v/>
      </c>
      <c r="D118">
        <f>COUNTIFS(F3:F100,"v3.39.2",K3:K100,"Nao iniciado")+COUNTIFS(F3:F100,"v3.39.2",K3:K100,"Em execucao")+COUNTIFS(F3:F100,"v3.39.2",K3:K100,"BLOCKED")</f>
        <v/>
      </c>
    </row>
    <row r="119">
      <c r="A119" t="inlineStr">
        <is>
          <t>v3.39.3</t>
        </is>
      </c>
      <c r="B119">
        <f>COUNTIFS(F3:F100,"v3.39.3",K3:K100,"PASS")</f>
        <v/>
      </c>
      <c r="C119">
        <f>COUNTIFS(F3:F100,"v3.39.3",K3:K100,"FAIL")</f>
        <v/>
      </c>
      <c r="D119">
        <f>COUNTIFS(F3:F100,"v3.39.3",K3:K100,"Nao iniciado")+COUNTIFS(F3:F100,"v3.39.3",K3:K100,"Em execucao")+COUNTIFS(F3:F100,"v3.39.3",K3:K100,"BLOCKED")</f>
        <v/>
      </c>
    </row>
    <row r="120">
      <c r="A120" t="inlineStr">
        <is>
          <t>v3.39.4</t>
        </is>
      </c>
      <c r="B120">
        <f>COUNTIFS(F3:F100,"v3.39.4",K3:K100,"PASS")</f>
        <v/>
      </c>
      <c r="C120">
        <f>COUNTIFS(F3:F100,"v3.39.4",K3:K100,"FAIL")</f>
        <v/>
      </c>
      <c r="D120">
        <f>COUNTIFS(F3:F100,"v3.39.4",K3:K100,"Nao iniciado")+COUNTIFS(F3:F100,"v3.39.4",K3:K100,"Em execucao")+COUNTIFS(F3:F100,"v3.39.4",K3:K100,"BLOCKED")</f>
        <v/>
      </c>
    </row>
    <row r="121">
      <c r="A121" t="inlineStr">
        <is>
          <t>v3.39.5</t>
        </is>
      </c>
      <c r="B121">
        <f>COUNTIFS(F3:F100,"v3.39.5",K3:K100,"PASS")</f>
        <v/>
      </c>
      <c r="C121">
        <f>COUNTIFS(F3:F100,"v3.39.5",K3:K100,"FAIL")</f>
        <v/>
      </c>
      <c r="D121">
        <f>COUNTIFS(F3:F100,"v3.39.5",K3:K100,"Nao iniciado")+COUNTIFS(F3:F100,"v3.39.5",K3:K100,"Em execucao")+COUNTIFS(F3:F100,"v3.39.5",K3:K100,"BLOCKED")</f>
        <v/>
      </c>
    </row>
    <row r="122">
      <c r="A122" t="inlineStr">
        <is>
          <t>v3.39.6</t>
        </is>
      </c>
      <c r="B122">
        <f>COUNTIFS(F3:F100,"v3.39.6",K3:K100,"PASS")</f>
        <v/>
      </c>
      <c r="C122">
        <f>COUNTIFS(F3:F100,"v3.39.6",K3:K100,"FAIL")</f>
        <v/>
      </c>
      <c r="D122">
        <f>COUNTIFS(F3:F100,"v3.39.6",K3:K100,"Nao iniciado")+COUNTIFS(F3:F100,"v3.39.6",K3:K100,"Em execucao")+COUNTIFS(F3:F100,"v3.39.6",K3:K100,"BLOCKED")</f>
        <v/>
      </c>
    </row>
    <row r="123">
      <c r="A123" t="inlineStr">
        <is>
          <t>v3.39.7</t>
        </is>
      </c>
      <c r="B123">
        <f>COUNTIFS(F3:F100,"v3.39.7",K3:K100,"PASS")</f>
        <v/>
      </c>
      <c r="C123">
        <f>COUNTIFS(F3:F100,"v3.39.7",K3:K100,"FAIL")</f>
        <v/>
      </c>
      <c r="D123">
        <f>COUNTIFS(F3:F100,"v3.39.7",K3:K100,"Nao iniciado")+COUNTIFS(F3:F100,"v3.39.7",K3:K100,"Em execucao")+COUNTIFS(F3:F100,"v3.39.7",K3:K100,"BLOCKED")</f>
        <v/>
      </c>
    </row>
    <row r="124">
      <c r="A124" t="inlineStr">
        <is>
          <t>v3.39.8</t>
        </is>
      </c>
      <c r="B124">
        <f>COUNTIFS(F3:F100,"v3.39.8",K3:K100,"PASS")</f>
        <v/>
      </c>
      <c r="C124">
        <f>COUNTIFS(F3:F100,"v3.39.8",K3:K100,"FAIL")</f>
        <v/>
      </c>
      <c r="D124">
        <f>COUNTIFS(F3:F100,"v3.39.8",K3:K100,"Nao iniciado")+COUNTIFS(F3:F100,"v3.39.8",K3:K100,"Em execucao")+COUNTIFS(F3:F100,"v3.39.8",K3:K100,"BLOCKED")</f>
        <v/>
      </c>
    </row>
    <row r="125">
      <c r="A125" t="inlineStr">
        <is>
          <t>v3.40.0</t>
        </is>
      </c>
      <c r="B125">
        <f>COUNTIFS(F3:F100,"v3.40.0",K3:K100,"PASS")</f>
        <v/>
      </c>
      <c r="C125">
        <f>COUNTIFS(F3:F100,"v3.40.0",K3:K100,"FAIL")</f>
        <v/>
      </c>
      <c r="D125">
        <f>COUNTIFS(F3:F100,"v3.40.0",K3:K100,"Nao iniciado")+COUNTIFS(F3:F100,"v3.40.0",K3:K100,"Em execucao")+COUNTIFS(F3:F100,"v3.40.0",K3:K100,"BLOCKED")</f>
        <v/>
      </c>
    </row>
  </sheetData>
  <mergeCells count="2">
    <mergeCell ref="A90:M90"/>
    <mergeCell ref="A1:M1"/>
  </mergeCells>
  <conditionalFormatting sqref="K3:K87">
    <cfRule type="cellIs" rank="0" priority="2" equalAverage="0" operator="equal" aboveAverage="0" dxfId="0" text="" percent="0" bottom="0">
      <formula>"PASS"</formula>
    </cfRule>
    <cfRule type="cellIs" rank="0" priority="3" equalAverage="0" operator="equal" aboveAverage="0" dxfId="1" text="" percent="0" bottom="0">
      <formula>"FAIL"</formula>
    </cfRule>
    <cfRule type="cellIs" rank="0" priority="4" equalAverage="0" operator="equal" aboveAverage="0" dxfId="2" text="" percent="0" bottom="0">
      <formula>"N/A"</formula>
    </cfRule>
    <cfRule type="cellIs" rank="0" priority="5" equalAverage="0" operator="equal" aboveAverage="0" dxfId="3" text="" percent="0" bottom="0">
      <formula>"BLOCKED"</formula>
    </cfRule>
    <cfRule type="cellIs" rank="0" priority="6" equalAverage="0" operator="equal" aboveAverage="0" dxfId="4" text="" percent="0" bottom="0">
      <formula>"Em execucao"</formula>
    </cfRule>
  </conditionalFormatting>
  <dataValidations count="4">
    <dataValidation sqref="D3:D87" showDropDown="0" showInputMessage="0" showErrorMessage="0" allowBlank="0" type="list" errorStyle="stop" operator="between">
      <formula1>"P0,P1,P2"</formula1>
      <formula2>0</formula2>
    </dataValidation>
    <dataValidation sqref="E3:E87" showDropDown="0" showInputMessage="0" showErrorMessage="0" allowBlank="0" type="list" errorStyle="stop" operator="between">
      <formula1>"Smoke,Critico,Regressao,Inviolavel"</formula1>
      <formula2>0</formula2>
    </dataValidation>
    <dataValidation sqref="F3:F87" showDropDown="0" showInputMessage="0" showErrorMessage="0" allowBlank="0" type="list" errorStyle="stop" operator="between">
      <formula1>"v3.38.0,v3.38.0 (revisado),v3.39.0,v3.39.1,v3.39.2,v3.39.3,v3.39.4,v3.39.5,v3.39.6,v3.39.7,v3.39.8"</formula1>
      <formula2>0</formula2>
    </dataValidation>
    <dataValidation sqref="K3:K87" showDropDown="0" showInputMessage="0" showErrorMessage="0" allowBlank="0" type="list" errorStyle="stop" operator="between">
      <formula1>"Nao iniciado,Em execucao,PASS,FAIL,N/A,BLOCKED"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" customWidth="1" style="17" min="1" max="1"/>
    <col width="80" customWidth="1" style="17" min="2" max="2"/>
    <col width="14" customWidth="1" style="17" min="3" max="3"/>
    <col width="32" customWidth="1" style="17" min="4" max="4"/>
  </cols>
  <sheetData>
    <row r="1" ht="27.75" customHeight="1" s="18">
      <c r="A1" s="19" t="inlineStr">
        <is>
          <t>Regras Invioláveis — Checklist de Violacoes (14 regras)</t>
        </is>
      </c>
    </row>
    <row r="2" ht="30" customHeight="1" s="18">
      <c r="A2" s="20" t="inlineStr">
        <is>
          <t>Esta aba registra violacoes das 14 Regras Invioláveis detectadas durante UAT. Zero registros aqui e criterio de release.</t>
        </is>
      </c>
    </row>
    <row r="4" ht="26.85" customHeight="1" s="18">
      <c r="A4" s="23" t="inlineStr">
        <is>
          <t>#</t>
        </is>
      </c>
      <c r="B4" s="23" t="inlineStr">
        <is>
          <t>Regra</t>
        </is>
      </c>
      <c r="C4" s="23" t="inlineStr">
        <is>
          <t>Severidade</t>
        </is>
      </c>
      <c r="D4" s="23" t="inlineStr">
        <is>
          <t>Violacao detectada? (SIM/NAO/N/A)</t>
        </is>
      </c>
    </row>
    <row r="5" ht="15" customHeight="1" s="18">
      <c r="A5" s="24" t="n">
        <v>1</v>
      </c>
      <c r="B5" s="24" t="inlineStr">
        <is>
          <t>chave_dedup alterada</t>
        </is>
      </c>
      <c r="C5" s="32" t="inlineStr">
        <is>
          <t>BLOQUEANTE</t>
        </is>
      </c>
      <c r="D5" s="24" t="inlineStr">
        <is>
          <t>NAO</t>
        </is>
      </c>
    </row>
    <row r="6" ht="15" customHeight="1" s="18">
      <c r="A6" s="26" t="n">
        <v>2</v>
      </c>
      <c r="B6" s="26" t="inlineStr">
        <is>
          <t>mesFatura nao propagado em despesa de cartao</t>
        </is>
      </c>
      <c r="C6" s="33" t="inlineStr">
        <is>
          <t>BLOQUEANTE</t>
        </is>
      </c>
      <c r="D6" s="26" t="inlineStr">
        <is>
          <t>NAO</t>
        </is>
      </c>
    </row>
    <row r="7" ht="15" customHeight="1" s="18">
      <c r="A7" s="24" t="n">
        <v>3</v>
      </c>
      <c r="B7" s="24" t="inlineStr">
        <is>
          <t>isMovimentacaoReal() nao usado em agregado que filtra projecoes</t>
        </is>
      </c>
      <c r="C7" s="32" t="inlineStr">
        <is>
          <t>BLOQUEANTE</t>
        </is>
      </c>
      <c r="D7" s="24" t="inlineStr">
        <is>
          <t>NAO</t>
        </is>
      </c>
    </row>
    <row r="8" ht="15" customHeight="1" s="18">
      <c r="A8" s="26" t="n">
        <v>4</v>
      </c>
      <c r="B8" s="26" t="inlineStr">
        <is>
          <t>Cores hardcoded no CSS (nao usa tokens)</t>
        </is>
      </c>
      <c r="C8" s="33" t="inlineStr">
        <is>
          <t>BLOQUEANTE</t>
        </is>
      </c>
      <c r="D8" s="26" t="inlineStr">
        <is>
          <t>NAO</t>
        </is>
      </c>
    </row>
    <row r="9" ht="15" customHeight="1" s="18">
      <c r="A9" s="24" t="n">
        <v>5</v>
      </c>
      <c r="B9" s="24" t="inlineStr">
        <is>
          <t>Firebase via CDN gstatic.com (nao npm)</t>
        </is>
      </c>
      <c r="C9" s="32" t="inlineStr">
        <is>
          <t>BLOQUEANTE</t>
        </is>
      </c>
      <c r="D9" s="24" t="inlineStr">
        <is>
          <t>NAO</t>
        </is>
      </c>
    </row>
    <row r="10" ht="15" customHeight="1" s="18">
      <c r="A10" s="26" t="n">
        <v>6</v>
      </c>
      <c r="B10" s="26" t="inlineStr">
        <is>
          <t>grupoId ausente em query Firestore</t>
        </is>
      </c>
      <c r="C10" s="33" t="inlineStr">
        <is>
          <t>BLOQUEANTE</t>
        </is>
      </c>
      <c r="D10" s="26" t="inlineStr">
        <is>
          <t>NAO</t>
        </is>
      </c>
    </row>
    <row r="11" ht="15" customHeight="1" s="18">
      <c r="A11" s="24" t="n">
        <v>7</v>
      </c>
      <c r="B11" s="24" t="inlineStr">
        <is>
          <t>innerHTML sem escHTML() em dados do usuario</t>
        </is>
      </c>
      <c r="C11" s="32" t="inlineStr">
        <is>
          <t>BLOQUEANTE</t>
        </is>
      </c>
      <c r="D11" s="24" t="inlineStr">
        <is>
          <t>NAO</t>
        </is>
      </c>
    </row>
    <row r="12" ht="15" customHeight="1" s="18">
      <c r="A12" s="26" t="n">
        <v>8</v>
      </c>
      <c r="B12" s="26" t="inlineStr">
        <is>
          <t>Documento parcelamentos deletado (deveria ser status=quitado)</t>
        </is>
      </c>
      <c r="C12" s="33" t="inlineStr">
        <is>
          <t>BLOQUEANTE</t>
        </is>
      </c>
      <c r="D12" s="26" t="inlineStr">
        <is>
          <t>NAO</t>
        </is>
      </c>
    </row>
    <row r="13" ht="15" customHeight="1" s="18">
      <c r="A13" s="24" t="n">
        <v>9</v>
      </c>
      <c r="B13" s="24" t="inlineStr">
        <is>
          <t>deleteDoc em lote sem writeBatch</t>
        </is>
      </c>
      <c r="C13" s="32" t="inlineStr">
        <is>
          <t>BLOQUEANTE</t>
        </is>
      </c>
      <c r="D13" s="24" t="inlineStr">
        <is>
          <t>NAO</t>
        </is>
      </c>
    </row>
    <row r="14" ht="15" customHeight="1" s="18">
      <c r="A14" s="26" t="n">
        <v>10</v>
      </c>
      <c r="B14" s="26" t="inlineStr">
        <is>
          <t>categoriaId salvo como string sentinela __tipo__*</t>
        </is>
      </c>
      <c r="C14" s="33" t="inlineStr">
        <is>
          <t>BLOQUEANTE</t>
        </is>
      </c>
      <c r="D14" s="26" t="inlineStr">
        <is>
          <t>NAO</t>
        </is>
      </c>
    </row>
    <row r="15" ht="15" customHeight="1" s="18">
      <c r="A15" s="24" t="n">
        <v>11</v>
      </c>
      <c r="B15" s="24" t="inlineStr">
        <is>
          <t>Commit sem Conventional Commits com escopo</t>
        </is>
      </c>
      <c r="C15" s="34" t="inlineStr">
        <is>
          <t>ALERTA</t>
        </is>
      </c>
      <c r="D15" s="24" t="inlineStr">
        <is>
          <t>NAO</t>
        </is>
      </c>
    </row>
    <row r="16" ht="15" customHeight="1" s="18">
      <c r="A16" s="26" t="n">
        <v>12</v>
      </c>
      <c r="B16" s="26" t="inlineStr">
        <is>
          <t>Alteracao em src/ sem feature branch + PR</t>
        </is>
      </c>
      <c r="C16" s="35" t="inlineStr">
        <is>
          <t>ALERTA</t>
        </is>
      </c>
      <c r="D16" s="26" t="inlineStr">
        <is>
          <t>NAO</t>
        </is>
      </c>
    </row>
    <row r="17" ht="15" customHeight="1" s="18">
      <c r="A17" s="24" t="n">
        <v>13</v>
      </c>
      <c r="B17" s="24" t="inlineStr">
        <is>
          <t>Task de UI sem consultar docs/DESIGN_SYSTEM.md / tokens</t>
        </is>
      </c>
      <c r="C17" s="34" t="inlineStr">
        <is>
          <t>ALERTA</t>
        </is>
      </c>
      <c r="D17" s="24" t="inlineStr">
        <is>
          <t>NAO</t>
        </is>
      </c>
    </row>
    <row r="18" ht="15" customHeight="1" s="18">
      <c r="A18" s="26" t="n">
        <v>14</v>
      </c>
      <c r="B18" s="26" t="inlineStr">
        <is>
          <t>PR em src/**/*.html ou src/css/**/*.css sem ux-reviewer anexado</t>
        </is>
      </c>
      <c r="C18" s="33" t="inlineStr">
        <is>
          <t>BLOQUEANTE</t>
        </is>
      </c>
      <c r="D18" s="26" t="inlineStr">
        <is>
          <t>NAO</t>
        </is>
      </c>
    </row>
    <row r="20" ht="15" customHeight="1" s="18">
      <c r="A20" s="36" t="inlineStr">
        <is>
          <t>Violacoes detectadas (SIM):</t>
        </is>
      </c>
      <c r="B20" s="36">
        <f>COUNTIF(D5:D18,"SIM")</f>
        <v/>
      </c>
      <c r="C20" s="36">
        <f>IF(B20=0,"OK — SEM VIOLACOES","BLOQUEADO — ABRIR BUG")</f>
        <v/>
      </c>
    </row>
  </sheetData>
  <mergeCells count="2">
    <mergeCell ref="A1:D1"/>
    <mergeCell ref="A2:D2"/>
  </mergeCells>
  <conditionalFormatting sqref="D5:D18">
    <cfRule type="cellIs" rank="0" priority="2" equalAverage="0" operator="equal" aboveAverage="0" dxfId="1" text="" percent="0" bottom="0">
      <formula>"SIM"</formula>
    </cfRule>
    <cfRule type="cellIs" rank="0" priority="3" equalAverage="0" operator="equal" aboveAverage="0" dxfId="0" text="" percent="0" bottom="0">
      <formula>"NAO"</formula>
    </cfRule>
  </conditionalFormatting>
  <dataValidations count="1">
    <dataValidation sqref="D5:D18" showDropDown="0" showInputMessage="0" showErrorMessage="0" allowBlank="0" type="list" errorStyle="stop" operator="between">
      <formula1>"SIM,NAO,N/A"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2026-04-23T06:51:42Z</dcterms:created>
  <dcterms:modified xmlns:dcterms="http://purl.org/dc/terms/" xmlns:xsi="http://www.w3.org/2001/XMLSchema-instance" xsi:type="dcterms:W3CDTF">2026-04-23T19:45:54Z</dcterms:modified>
  <cp:revision>0</cp:revision>
</cp:coreProperties>
</file>