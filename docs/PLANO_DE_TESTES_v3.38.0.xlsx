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sos" sheetId="2" state="visible" r:id="rId4"/>
    <sheet name="Inviolaveis" sheetId="3" state="visible" r:id="rId5"/>
  </sheets>
  <definedNames>
    <definedName function="false" hidden="true" localSheetId="1" name="_xlnm._FilterDatabase" vbProcedure="false">Casos!$A$1:$L$38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<sst xmlns="http://schemas.openxmlformats.org/spreadsheetml/2006/main" count="442" uniqueCount="285">
  <si>
    <t xml:space="preserve">Plano de Testes — Minhas Financas v3.38.0</t>
  </si>
  <si>
    <t xml:space="preserve">Data de emissao:</t>
  </si>
  <si>
    <t xml:space="preserve">2026-04-20</t>
  </si>
  <si>
    <t xml:space="preserve">Versao testada:</t>
  </si>
  <si>
    <t xml:space="preserve">v3.38.0</t>
  </si>
  <si>
    <t xml:space="preserve">Escopo:</t>
  </si>
  <si>
    <t xml:space="preserve">Regressao end-to-end (15 paginas) + NRF-NAV F1/F2/F3 + ENH-004/005 + RF-070 (DS)</t>
  </si>
  <si>
    <t xml:space="preserve">Profundidade:</t>
  </si>
  <si>
    <t xml:space="preserve">Smoke + Criticos (37 TCs)</t>
  </si>
  <si>
    <t xml:space="preserve">Executor:</t>
  </si>
  <si>
    <t xml:space="preserve">Ambiente:</t>
  </si>
  <si>
    <t xml:space="preserve">localhost (npm run dev) + Firestore prod | emulador para testes destrutivos</t>
  </si>
  <si>
    <t xml:space="preserve">COMO USAR ESTA PLANILHA</t>
  </si>
  <si>
    <t xml:space="preserve">1. Abrir a aba 'Casos'. Cada linha e um caso de teste (TC).</t>
  </si>
  <si>
    <t xml:space="preserve">2. Executar na ordem: Smoke (AUTH, NAV) -&gt; Criticos (DESP, FAT, FLUXO, DS) -&gt; Regressao (CAT, CONTA, ORC, PAT, GRUPO) -&gt; Invioláveis.</t>
  </si>
  <si>
    <t xml:space="preserve">3. Para cada TC marcar coluna Status: PASS / FAIL / N/A / BLOCKED / Em execucao.</t>
  </si>
  <si>
    <t xml:space="preserve">4. Em caso de FAIL, registrar evidencia em 'Observacoes' e abrir BUG-0XX em docs/BUGS.md.</t>
  </si>
  <si>
    <t xml:space="preserve">5. Na aba 'Casos', linhas 41-50 exibem contadores dinamicos (atualizam conforme voce marca status).</t>
  </si>
  <si>
    <t xml:space="preserve">6. Na aba 'Inviolaveis' marcar SIM/NAO para cada uma das 13 regras — zero SIMs e criterio bloqueante.</t>
  </si>
  <si>
    <t xml:space="preserve">7. Validar: zero FAILs em P0, cobertura &gt;= 95%, zero violacoes, suite automatizada verde.</t>
  </si>
  <si>
    <t xml:space="preserve">CRITERIO DE RELEASE (validar manualmente ao fim)</t>
  </si>
  <si>
    <t xml:space="preserve">[ ] 37/37 TCs com status PASS ou N/A justificado</t>
  </si>
  <si>
    <t xml:space="preserve">[ ] Zero FAILs em TCs de prioridade P0</t>
  </si>
  <si>
    <t xml:space="preserve">[ ] Zero violacoes invioláveis (aba Inviolaveis)</t>
  </si>
  <si>
    <t xml:space="preserve">[ ] Suite automatizada verde: npm test (727 testes) + npm run test:integration (26 testes)</t>
  </si>
  <si>
    <t xml:space="preserve">[ ] CHANGELOG.md reflete o que foi testado</t>
  </si>
  <si>
    <t xml:space="preserve">[ ] .auto-memory/project_mf_status.md atualizado com resumo da sessao de UAT</t>
  </si>
  <si>
    <t xml:space="preserve">[ ] Evidencias anexadas para FAILs (screenshot, log, link para issue)</t>
  </si>
  <si>
    <t xml:space="preserve">#</t>
  </si>
  <si>
    <t xml:space="preserve">Codigo</t>
  </si>
  <si>
    <t xml:space="preserve">Modulo</t>
  </si>
  <si>
    <t xml:space="preserve">Prioridade</t>
  </si>
  <si>
    <t xml:space="preserve">Categoria</t>
  </si>
  <si>
    <t xml:space="preserve">Fluxo / Cenario</t>
  </si>
  <si>
    <t xml:space="preserve">Passos</t>
  </si>
  <si>
    <t xml:space="preserve">Resultado esperado</t>
  </si>
  <si>
    <t xml:space="preserve">Regra inviolavel / Referencia</t>
  </si>
  <si>
    <t xml:space="preserve">Status</t>
  </si>
  <si>
    <t xml:space="preserve">Executor</t>
  </si>
  <si>
    <t xml:space="preserve">Observacoes</t>
  </si>
  <si>
    <t xml:space="preserve">TC-AUTH-01</t>
  </si>
  <si>
    <t xml:space="preserve">Auth</t>
  </si>
  <si>
    <t xml:space="preserve">P0</t>
  </si>
  <si>
    <t xml:space="preserve">Smoke</t>
  </si>
  <si>
    <t xml:space="preserve">Login Luigi com email/senha</t>
  </si>
  <si>
    <t xml:space="preserve">1. Abrir /login.html
2. Preencher email e senha
3. Clicar em Entrar</t>
  </si>
  <si>
    <t xml:space="preserve">Redireciona para /dashboard.html; navbar exibe nome do usuario; sessao persiste em refresh</t>
  </si>
  <si>
    <t xml:space="preserve">CLAUDE.md - onAuthChange</t>
  </si>
  <si>
    <t xml:space="preserve">Nao iniciado</t>
  </si>
  <si>
    <t xml:space="preserve">TC-AUTH-02</t>
  </si>
  <si>
    <t xml:space="preserve">P1</t>
  </si>
  <si>
    <t xml:space="preserve">Logout encerra sessao</t>
  </si>
  <si>
    <t xml:space="preserve">1. Com Luigi logado, clicar em Sair
2. Tentar acessar /despesas.html direto pela URL</t>
  </si>
  <si>
    <t xml:space="preserve">Redirect para /login.html; nao acessa rota autenticada</t>
  </si>
  <si>
    <t xml:space="preserve">src/js/services/auth.js</t>
  </si>
  <si>
    <t xml:space="preserve">TC-NAV-01</t>
  </si>
  <si>
    <t xml:space="preserve">Navegacao</t>
  </si>
  <si>
    <t xml:space="preserve">Navbar 5 secoes expande Cockpit corretamente</t>
  </si>
  <si>
    <t xml:space="preserve">1. Abrir /dashboard.html
2. Observar secao Cockpit aberta com Dashboard + Planejamento
3. Clicar em outras secoes (Historico, Transacoes, Futuro, Config)</t>
  </si>
  <si>
    <t xml:space="preserve">Somente secao ativa fica aberta; sub-item ativo marcado; sem JS errors no console</t>
  </si>
  <si>
    <t xml:space="preserve">src/js/nav.js sectionMap</t>
  </si>
  <si>
    <t xml:space="preserve">TC-NAV-02</t>
  </si>
  <si>
    <t xml:space="preserve">Secao Transacoes contem 5 sub-itens</t>
  </si>
  <si>
    <t xml:space="preserve">1. Clicar em Transacoes
2. Verificar sub-itens: Importar, Fatura, Despesas, Receitas, Base</t>
  </si>
  <si>
    <t xml:space="preserve">5 sub-itens presentes e acessiveis</t>
  </si>
  <si>
    <t xml:space="preserve">TC-NAV-03</t>
  </si>
  <si>
    <t xml:space="preserve">Critico</t>
  </si>
  <si>
    <t xml:space="preserve">Deep-link fatura?tab=projecoes ativa secao Futuro</t>
  </si>
  <si>
    <t xml:space="preserve">1. Acessar diretamente /fatura.html?tab=projecoes
2. Observar qual secao da navbar abre</t>
  </si>
  <si>
    <t xml:space="preserve">Secao Futuro aberta (nao Transacoes) + sub-item Fluxo de Caixa destacado</t>
  </si>
  <si>
    <t xml:space="preserve">nav.js linha branch especial tab=projecoes</t>
  </si>
  <si>
    <t xml:space="preserve">TC-DASH-01</t>
  </si>
  <si>
    <t xml:space="preserve">Cockpit/Dashboard</t>
  </si>
  <si>
    <t xml:space="preserve">KPIs do mes carregam</t>
  </si>
  <si>
    <t xml:space="preserve">1. Abrir /dashboard.html
2. Verificar cards: Saldo do mes, Receitas, Despesas, Forecast 6 meses</t>
  </si>
  <si>
    <t xml:space="preserve">Todos os cards renderizam valores numericos; nenhum NaN/undefined</t>
  </si>
  <si>
    <t xml:space="preserve">src/js/pages/index.js + forecastEngine</t>
  </si>
  <si>
    <t xml:space="preserve">TC-DASH-02</t>
  </si>
  <si>
    <t xml:space="preserve">Saldo Real por conta reflete contas ativas</t>
  </si>
  <si>
    <t xml:space="preserve">1. Em Dashboard, observar card Saldo Real
2. Conferir que soma bate com total em Contas</t>
  </si>
  <si>
    <t xml:space="preserve">Saldo agregado = soma dos saldos de contas com ativa=true</t>
  </si>
  <si>
    <t xml:space="preserve">saldoRealPorConta.js + RF-068</t>
  </si>
  <si>
    <t xml:space="preserve">TC-PLAN-01</t>
  </si>
  <si>
    <t xml:space="preserve">Cockpit/Planejamento</t>
  </si>
  <si>
    <t xml:space="preserve">Planejamento carrega dentro do Cockpit</t>
  </si>
  <si>
    <t xml:space="preserve">1. Navbar Cockpit &gt; Planejamento
2. Verificar grid de planejamento mensal carrega itens do grupo</t>
  </si>
  <si>
    <t xml:space="preserve">Pagina carrega sem erros; itens exibidos por categoria/mes</t>
  </si>
  <si>
    <t xml:space="preserve">src/js/pages/planejamento.js</t>
  </si>
  <si>
    <t xml:space="preserve">TC-FLUXO-01</t>
  </si>
  <si>
    <t xml:space="preserve">Futuro/FluxoCaixa</t>
  </si>
  <si>
    <t xml:space="preserve">Compromissos — parcelas agregadas dos cartoes</t>
  </si>
  <si>
    <t xml:space="preserve">1. Navbar Futuro &gt; Fluxo de Caixa
2. Scroll ate secao Compromissos Comprometidos (6 meses)
3. Verificar agrupamento por mesFatura</t>
  </si>
  <si>
    <t xml:space="preserve">Projecoes de todos os cartoes aparecem agregadas por mes; valores batem com aba Projecoes de cada cartao em /fatura.html</t>
  </si>
  <si>
    <t xml:space="preserve">projecoesCartao.buscarProjecoesAgregadas + RF-063</t>
  </si>
  <si>
    <t xml:space="preserve">TC-FLUXO-02</t>
  </si>
  <si>
    <t xml:space="preserve">P2</t>
  </si>
  <si>
    <t xml:space="preserve">Link cross-page fatura -&gt; fluxo-caixa#compromissos</t>
  </si>
  <si>
    <t xml:space="preserve">1. Abrir /fatura.html aba Projecoes
2. Clicar no link 'ver todos os cartoes consolidados em Futuro'
3. Verificar que ancora #compromissos e ativada</t>
  </si>
  <si>
    <t xml:space="preserve">URL destino /fluxo-caixa.html#compromissos; scroll chega na secao correta</t>
  </si>
  <si>
    <t xml:space="preserve">fatura.html + fluxo-caixa.html#compromissos</t>
  </si>
  <si>
    <t xml:space="preserve">TC-FLUXO-03</t>
  </si>
  <si>
    <t xml:space="preserve">Forecast 6 meses renderiza</t>
  </si>
  <si>
    <t xml:space="preserve">1. Em Fluxo de Caixa, observar card Forecast
2. Verificar 6 barras (mes atual + 5 futuros)</t>
  </si>
  <si>
    <t xml:space="preserve">Grafico Chart.js renderiza; tooltips mostram valores; cores alinhadas ao DS</t>
  </si>
  <si>
    <t xml:space="preserve">forecastEngine.js + RF-067</t>
  </si>
  <si>
    <t xml:space="preserve">TC-PAT-01</t>
  </si>
  <si>
    <t xml:space="preserve">Historico/Patrimonio</t>
  </si>
  <si>
    <t xml:space="preserve">Net Worth agregado de ativos e passivos</t>
  </si>
  <si>
    <t xml:space="preserve">1. Navbar Historico &gt; Patrimonio
2. Cadastrar/verificar ativos (investimentos, imoveis) e passivos (extrajudiciais)
3. Observar card Net Worth</t>
  </si>
  <si>
    <t xml:space="preserve">Net Worth = soma ativos - soma passivos; valor positivo ou negativo correto</t>
  </si>
  <si>
    <t xml:space="preserve">patrimonio.js + Investimento + PassivoExtrajudicial</t>
  </si>
  <si>
    <t xml:space="preserve">TC-PAT-02</t>
  </si>
  <si>
    <t xml:space="preserve">Grafico de evolucao patrimonial renderiza</t>
  </si>
  <si>
    <t xml:space="preserve">1. Em Patrimonio, observar grafico de evolucao mensal</t>
  </si>
  <si>
    <t xml:space="preserve">Chart renderiza; sem NaN nas series; legenda usa tokens DS</t>
  </si>
  <si>
    <t xml:space="preserve">RF-066 PR #178</t>
  </si>
  <si>
    <t xml:space="preserve">TC-DESP-01</t>
  </si>
  <si>
    <t xml:space="preserve">Transacoes/Despesas</t>
  </si>
  <si>
    <t xml:space="preserve">Header reduzido a Total + Contagem (ENH-005)</t>
  </si>
  <si>
    <t xml:space="preserve">1. Navbar Transacoes &gt; Despesas
2. Inspecionar topo da pagina</t>
  </si>
  <si>
    <t xml:space="preserve">Header exibe APENAS: Total do Mes + Contagem. NAO exibe: chips de responsavel, chips de compartilhadas, chip Meu Bolso, widget Parcelamentos em Aberto</t>
  </si>
  <si>
    <t xml:space="preserve">ENH-005 PR #190 + despesas.html</t>
  </si>
  <si>
    <t xml:space="preserve">TC-DESP-02</t>
  </si>
  <si>
    <t xml:space="preserve">Listagem usa progressive disclosure (ENH-004)</t>
  </si>
  <si>
    <t xml:space="preserve">1. Em Despesas, observar linhas da listagem
2. Identificar linha com multiplos metadados (ex: despesa conjunta parcelada)</t>
  </si>
  <si>
    <t xml:space="preserve">Linha compacta mostra 1 badge (hierarquia: transferencia &gt; projecao &gt; parcela &gt; conjunta &gt; portador). Toggle ▾ aparece quando ha &gt;1 metadado</t>
  </si>
  <si>
    <t xml:space="preserve">ENH-004 PR #185</t>
  </si>
  <si>
    <t xml:space="preserve">TC-DESP-03</t>
  </si>
  <si>
    <t xml:space="preserve">Expandir ▾ revela todos os badges</t>
  </si>
  <si>
    <t xml:space="preserve">1. Clicar no toggle ▾ de uma linha
2. Verificar que o &lt;details&gt; abre
3. Testar Tab + Enter no teclado</t>
  </si>
  <si>
    <t xml:space="preserve">Todos os badges aparecem (conta, portador, parcela, projecao, conjunta, transferencia). Acessivel por teclado</t>
  </si>
  <si>
    <t xml:space="preserve">despesas.js listagem</t>
  </si>
  <si>
    <t xml:space="preserve">TC-DESP-04</t>
  </si>
  <si>
    <t xml:space="preserve">CRUD de despesa manual preserva mesFatura + chave_dedup</t>
  </si>
  <si>
    <t xml:space="preserve">1. Criar despesa de cartao manual
2. Abrir DevTools &gt; Firestore emulator ou inspecionar via database.js
3. Verificar chave_dedup formato manual||... e mesFatura=YYYY-MM</t>
  </si>
  <si>
    <t xml:space="preserve">Campos corretos; sem undefined; sem null onde deveria ter valor</t>
  </si>
  <si>
    <t xml:space="preserve">CLAUDE.md - chave_dedup + mesFatura + BUG-021/022/026/032</t>
  </si>
  <si>
    <t xml:space="preserve">TC-REC-01</t>
  </si>
  <si>
    <t xml:space="preserve">Transacoes/Receitas</t>
  </si>
  <si>
    <t xml:space="preserve">CRUD basico de receita</t>
  </si>
  <si>
    <t xml:space="preserve">1. Navbar Transacoes &gt; Receitas
2. Criar, editar e excluir uma receita de teste</t>
  </si>
  <si>
    <t xml:space="preserve">Operacoes persistem no Firestore; listagem atualiza em tempo real via onSnapshot</t>
  </si>
  <si>
    <t xml:space="preserve">receitas.js + database.js</t>
  </si>
  <si>
    <t xml:space="preserve">TC-REC-02</t>
  </si>
  <si>
    <t xml:space="preserve">Receita recorrente gera projecao futura</t>
  </si>
  <si>
    <t xml:space="preserve">1. Criar receita com recorrencia mensal
2. Abrir Fluxo de Caixa
3. Observar se aparece nos proximos meses</t>
  </si>
  <si>
    <t xml:space="preserve">Projecao aparece com tipo correto; nao duplica no mes de criacao</t>
  </si>
  <si>
    <t xml:space="preserve">recurringDetector.js</t>
  </si>
  <si>
    <t xml:space="preserve">TC-FAT-01</t>
  </si>
  <si>
    <t xml:space="preserve">Transacoes/Fatura</t>
  </si>
  <si>
    <t xml:space="preserve">Aba Projecoes por cartao</t>
  </si>
  <si>
    <t xml:space="preserve">1. Navbar Transacoes &gt; Fatura
2. Selecionar cartao e mes
3. Abrir aba Projecoes</t>
  </si>
  <si>
    <t xml:space="preserve">Parcelas futuras listadas; valores por parcela X/Y corretos; filtro por mesFatura</t>
  </si>
  <si>
    <t xml:space="preserve">projecoesCartao.iniciar (modo listener)</t>
  </si>
  <si>
    <t xml:space="preserve">TC-FAT-02</t>
  </si>
  <si>
    <t xml:space="preserve">Reconciliacao fatura ↔ extrato (RF-062/063/064)</t>
  </si>
  <si>
    <t xml:space="preserve">1. Importar fatura do cartao
2. Abrir aba Reconciliacao
3. Verificar match exato + fuzzy + ajustes marketplace</t>
  </si>
  <si>
    <t xml:space="preserve">Matches exatos destacados; fuzzy com highlight amber; ajustes marketplace sugerem reconciliacao</t>
  </si>
  <si>
    <t xml:space="preserve">reconciliadorFatura.js + ajusteDetector.js</t>
  </si>
  <si>
    <t xml:space="preserve">TC-FAT-03</t>
  </si>
  <si>
    <t xml:space="preserve">Pagamento de fatura gera tipo pagamento_fatura</t>
  </si>
  <si>
    <t xml:space="preserve">1. Em fatura, executar pagamento (baixa)
2. Verificar despesa gerada tem tipo=pagamento_fatura</t>
  </si>
  <si>
    <t xml:space="preserve">Campo tipo correto; despesa nao duplica no total do mes; mesFatura preservado</t>
  </si>
  <si>
    <t xml:space="preserve">fatura.js + CLAUDE.md tipos de despesa</t>
  </si>
  <si>
    <t xml:space="preserve">TC-IMP-01</t>
  </si>
  <si>
    <t xml:space="preserve">Transacoes/Importar</t>
  </si>
  <si>
    <t xml:space="preserve">Import CSV banco — dedup funciona</t>
  </si>
  <si>
    <t xml:space="preserve">1. Navbar Transacoes &gt; Importar
2. Upload CSV de banco conhecido (ex: Itau, Nubank)
3. Re-upload do MESMO arquivo</t>
  </si>
  <si>
    <t xml:space="preserve">Primeira importacao: linhas novas criadas com chave_dedup. Segunda: 0 linhas duplicadas criadas; dedup via buscarChavesDedup</t>
  </si>
  <si>
    <t xml:space="preserve">deduplicador.js + chave_dedup (REGRA INVIOLAVEL 1)</t>
  </si>
  <si>
    <t xml:space="preserve">TC-IMP-02</t>
  </si>
  <si>
    <t xml:space="preserve">Import PDF fatura — mesFatura propagado</t>
  </si>
  <si>
    <t xml:space="preserve">1. Upload PDF de fatura de cartao
2. Confirmar importacao
3. Abrir Firestore e inspecionar docs criados</t>
  </si>
  <si>
    <t xml:space="preserve">Todas as despesas do lote tem mesFatura=YYYY-MM identico; nenhuma sem mesFatura</t>
  </si>
  <si>
    <t xml:space="preserve">pdfParser + pipelineCartao + BUG-021/022/026/032</t>
  </si>
  <si>
    <t xml:space="preserve">TC-IMP-03</t>
  </si>
  <si>
    <t xml:space="preserve">Detector de transferencia interna</t>
  </si>
  <si>
    <t xml:space="preserve">1. Importar extrato com TED entre contas Luigi e Ana
2. Verificar que saida e entrada sao pareadas</t>
  </si>
  <si>
    <t xml:space="preserve">tipo=transferencia_interna em ambos; nao infla despesas nem receitas do mes</t>
  </si>
  <si>
    <t xml:space="preserve">detectorTransferenciaInterna.js</t>
  </si>
  <si>
    <t xml:space="preserve">TC-BASE-01</t>
  </si>
  <si>
    <t xml:space="preserve">Transacoes/Base</t>
  </si>
  <si>
    <t xml:space="preserve">Listagem consolidada com filtros</t>
  </si>
  <si>
    <t xml:space="preserve">1. Navbar Transacoes &gt; Base
2. Aplicar filtros por tipo, periodo, responsavel</t>
  </si>
  <si>
    <t xml:space="preserve">Listagem responde aos filtros; paginacao funciona; exportacao XLSX (se presente)</t>
  </si>
  <si>
    <t xml:space="preserve">base-dados.js</t>
  </si>
  <si>
    <t xml:space="preserve">TC-CAT-01</t>
  </si>
  <si>
    <t xml:space="preserve">Config/Categorias</t>
  </si>
  <si>
    <t xml:space="preserve">Criar categoria com emoji e cor</t>
  </si>
  <si>
    <t xml:space="preserve">1. Navbar Config &gt; Categorias
2. Criar categoria com emoji + cor customizada
3. Usar em nova despesa</t>
  </si>
  <si>
    <t xml:space="preserve">Categoria aparece em listagens; cor reflete no badge; nao salva como sentinela __tipo__</t>
  </si>
  <si>
    <t xml:space="preserve">CLAUDE.md + BUG-031 categoriaId sentinela</t>
  </si>
  <si>
    <t xml:space="preserve">TC-CONTA-01</t>
  </si>
  <si>
    <t xml:space="preserve">Config/Contas</t>
  </si>
  <si>
    <t xml:space="preserve">Conta padrao nao pode ser deletada</t>
  </si>
  <si>
    <t xml:space="preserve">1. Config &gt; Contas
2. Tentar deletar uma conta padrao (ex: Itau, Nubank)</t>
  </si>
  <si>
    <t xml:space="preserve">Operacao bloqueada ou so altera ativa=false; nunca deleta doc</t>
  </si>
  <si>
    <t xml:space="preserve">CLAUDE.md - Nunca deletar contas</t>
  </si>
  <si>
    <t xml:space="preserve">TC-ORC-01</t>
  </si>
  <si>
    <t xml:space="preserve">Config/Orcamentos</t>
  </si>
  <si>
    <t xml:space="preserve">Cores de orcamento por faixa de %</t>
  </si>
  <si>
    <t xml:space="preserve">1. Config &gt; Orcamentos
2. Observar orcamentos em &lt; 70%, 70-89%, 90-100%, &gt; 100%</t>
  </si>
  <si>
    <t xml:space="preserve">Cores: OK (verde) &lt;70%, Warning (amarelo) 70-89%, Danger (vermelho) 90-100%, Critical (roxo) &gt;100%</t>
  </si>
  <si>
    <t xml:space="preserve">DESIGN_SYSTEM.md status orcamentos</t>
  </si>
  <si>
    <t xml:space="preserve">TC-GRUPO-01</t>
  </si>
  <si>
    <t xml:space="preserve">Config/Grupo</t>
  </si>
  <si>
    <t xml:space="preserve">grupoId isola dados entre grupos</t>
  </si>
  <si>
    <t xml:space="preserve">1. Logar com Luigi em grupo A
2. Inspecionar DevTools &gt; Network &gt; Firestore requests
3. Verificar que queries tem filtro grupoId</t>
  </si>
  <si>
    <t xml:space="preserve">Toda query contem where(grupoId==&lt;id_do_grupo&gt;); sem leak entre grupos</t>
  </si>
  <si>
    <t xml:space="preserve">REGRA INVIOLAVEL 6 - grupoId obrigatorio</t>
  </si>
  <si>
    <t xml:space="preserve">TC-GRUPO-02</t>
  </si>
  <si>
    <t xml:space="preserve">Convite de membro via email</t>
  </si>
  <si>
    <t xml:space="preserve">1. Config &gt; Grupo
2. Enviar convite para email de teste
3. Aceitar convite em outra sessao</t>
  </si>
  <si>
    <t xml:space="preserve">Novo membro entra no grupo; acesso compartilhado funciona</t>
  </si>
  <si>
    <t xml:space="preserve">src/js/services/grupos.js</t>
  </si>
  <si>
    <t xml:space="preserve">TC-DS-01</t>
  </si>
  <si>
    <t xml:space="preserve">Design System</t>
  </si>
  <si>
    <t xml:space="preserve">Zero cores hex hardcoded em fluxo-caixa</t>
  </si>
  <si>
    <t xml:space="preserve">1. Abrir src/fluxo-caixa.html no editor
2. Buscar padrao hex (#[0-9a-f]{6})
3. Verificar que todos usam var(--color-*)</t>
  </si>
  <si>
    <t xml:space="preserve">Apenas tokens DS em uso; zero hex direto (exceto fallbacks em comentarios)</t>
  </si>
  <si>
    <t xml:space="preserve">REGRA INVIOLAVEL 4 - cores hardcoded + PR #190</t>
  </si>
  <si>
    <t xml:space="preserve">TC-DS-02</t>
  </si>
  <si>
    <t xml:space="preserve">.btn-danger:hover usa --shadow-danger</t>
  </si>
  <si>
    <t xml:space="preserve">1. Abrir components.css
2. Localizar .btn-danger:hover
3. Verificar que shadow usa var(--shadow-danger)</t>
  </si>
  <si>
    <t xml:space="preserve">Shadow aponta para token novo do Warm Finance; sem rgba hardcoded pre-rebrand</t>
  </si>
  <si>
    <t xml:space="preserve">PR #190 CHANGELOG v3.38.0</t>
  </si>
  <si>
    <t xml:space="preserve">TC-DS-03</t>
  </si>
  <si>
    <t xml:space="preserve">Seguranca</t>
  </si>
  <si>
    <t xml:space="preserve">escHTML aplicado em innerHTML com dados do usuario</t>
  </si>
  <si>
    <t xml:space="preserve">1. Revisar src/js/pages/despesas.js
2. Buscar innerHTML e onclick com interpolacao
3. Verificar que todos passam por escHTML()</t>
  </si>
  <si>
    <t xml:space="preserve">Todos os pontos com dados do usuario sanitizados; sem XSS vector</t>
  </si>
  <si>
    <t xml:space="preserve">REGRA INVIOLAVEL 7 + security-reviewer + PR #181/#176/#190</t>
  </si>
  <si>
    <t xml:space="preserve">TC-REG-01</t>
  </si>
  <si>
    <t xml:space="preserve">Regressao/Inviolaveis</t>
  </si>
  <si>
    <t xml:space="preserve">chave_dedup mantem formato original</t>
  </si>
  <si>
    <t xml:space="preserve">1. Importar transacao
2. Inspecionar doc no Firestore
3. Conferir formato: data||desc||valor||portador||parcela</t>
  </si>
  <si>
    <t xml:space="preserve">Formato identico ao documentado em CLAUDE.md; sem quebra historica de dedup</t>
  </si>
  <si>
    <t xml:space="preserve">REGRA INVIOLAVEL 1</t>
  </si>
  <si>
    <t xml:space="preserve">TC-REG-02</t>
  </si>
  <si>
    <t xml:space="preserve">Parcelamento nunca deletado — so status quitado</t>
  </si>
  <si>
    <t xml:space="preserve">1. Quitar ultima parcela de um parcelamento
2. Inspecionar Firestore &gt; parcelamentos</t>
  </si>
  <si>
    <t xml:space="preserve">Doc existe com status='quitado'; NAO foi apagado</t>
  </si>
  <si>
    <t xml:space="preserve">REGRA INVIOLAVEL 8</t>
  </si>
  <si>
    <t xml:space="preserve">TC-REG-03</t>
  </si>
  <si>
    <t xml:space="preserve">Delete em lote usa writeBatch</t>
  </si>
  <si>
    <t xml:space="preserve">1. Executar operacao de purge/limpeza em lote (emulador recomendado)
2. Observar firestore.rules + codigo</t>
  </si>
  <si>
    <t xml:space="preserve">Operacoes em lote envolvem writeBatch; sem deleteDoc iterativo solto</t>
  </si>
  <si>
    <t xml:space="preserve">REGRA INVIOLAVEL 9</t>
  </si>
  <si>
    <t xml:space="preserve">DASHBOARD DE PROGRESSO (contadores dinamicos)</t>
  </si>
  <si>
    <t xml:space="preserve">Por Status</t>
  </si>
  <si>
    <t xml:space="preserve">Por Prioridade</t>
  </si>
  <si>
    <t xml:space="preserve">Contagem</t>
  </si>
  <si>
    <t xml:space="preserve">% do total</t>
  </si>
  <si>
    <t xml:space="preserve">Total</t>
  </si>
  <si>
    <t xml:space="preserve">PASS</t>
  </si>
  <si>
    <t xml:space="preserve">FAIL</t>
  </si>
  <si>
    <t xml:space="preserve">% concl.</t>
  </si>
  <si>
    <t xml:space="preserve">Em execucao</t>
  </si>
  <si>
    <t xml:space="preserve">N/A</t>
  </si>
  <si>
    <t xml:space="preserve">Gate de Release</t>
  </si>
  <si>
    <t xml:space="preserve">BLOCKED</t>
  </si>
  <si>
    <t xml:space="preserve">Zero FAIL em P0:</t>
  </si>
  <si>
    <t xml:space="preserve">Cobertura &gt;= 95%:</t>
  </si>
  <si>
    <t xml:space="preserve">Regras Invioláveis — Checklist de Violacoes</t>
  </si>
  <si>
    <t xml:space="preserve">Esta aba registra violacoes das 13 Regras Invioláveis detectadas durante UAT. Zero registros aqui e criterio de release.</t>
  </si>
  <si>
    <t xml:space="preserve">Regra</t>
  </si>
  <si>
    <t xml:space="preserve">Severidade</t>
  </si>
  <si>
    <t xml:space="preserve">Violacao detectada? (SIM/NAO/N/A)</t>
  </si>
  <si>
    <t xml:space="preserve">chave_dedup alterada</t>
  </si>
  <si>
    <t xml:space="preserve">BLOQUEANTE</t>
  </si>
  <si>
    <t xml:space="preserve">NAO</t>
  </si>
  <si>
    <t xml:space="preserve">mesFatura nao propagado em despesa de cartao</t>
  </si>
  <si>
    <t xml:space="preserve">isMovimentacaoReal() nao usado em agregado que filtra projecoes</t>
  </si>
  <si>
    <t xml:space="preserve">Cores hardcoded no CSS (nao usa tokens)</t>
  </si>
  <si>
    <t xml:space="preserve">Firebase via CDN gstatic.com (nao npm)</t>
  </si>
  <si>
    <t xml:space="preserve">grupoId ausente em query Firestore</t>
  </si>
  <si>
    <t xml:space="preserve">innerHTML sem escHTML() em dados do usuario</t>
  </si>
  <si>
    <t xml:space="preserve">Documento parcelamentos deletado (deveria ser status=quitado)</t>
  </si>
  <si>
    <t xml:space="preserve">deleteDoc em lote sem writeBatch</t>
  </si>
  <si>
    <t xml:space="preserve">categoriaId salvo como string sentinela __tipo__*</t>
  </si>
  <si>
    <t xml:space="preserve">Commit sem Conventional Commits com escopo</t>
  </si>
  <si>
    <t xml:space="preserve">ALERTA</t>
  </si>
  <si>
    <t xml:space="preserve">Alteracao em src/ sem feature branch + PR</t>
  </si>
  <si>
    <t xml:space="preserve">Task de UI sem consultar docs/DESIGN_SYSTEM.md / tokens</t>
  </si>
  <si>
    <t xml:space="preserve">Violacoes detectadas (SIM):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</si>
</sst>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3730A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6366F1"/>
        <bgColor rgb="FF64748B"/>
      </patternFill>
    </fill>
    <fill>
      <patternFill patternType="solid">
        <fgColor rgb="FFF1F5F9"/>
        <bgColor rgb="FFF8FAFC"/>
      </patternFill>
    </fill>
    <fill>
      <patternFill patternType="solid">
        <fgColor rgb="FFFEF3C7"/>
        <bgColor rgb="FFFFE4E6"/>
      </patternFill>
    </fill>
    <fill>
      <patternFill patternType="solid">
        <fgColor rgb="FFF8FAFC"/>
        <bgColor rgb="FFFFFFFF"/>
      </patternFill>
    </fill>
    <fill>
      <patternFill patternType="solid">
        <fgColor rgb="FF475569"/>
        <bgColor rgb="FF64748B"/>
      </patternFill>
    </fill>
    <fill>
      <patternFill patternType="solid">
        <fgColor rgb="FFE2E8F0"/>
        <bgColor rgb="FFE0E7FF"/>
      </patternFill>
    </fill>
    <fill>
      <patternFill patternType="solid">
        <fgColor rgb="FFFEE2E2"/>
        <bgColor rgb="FFFFE4E6"/>
      </patternFill>
    </fill>
    <fill>
      <patternFill patternType="solid">
        <fgColor rgb="FFD1FAE5"/>
        <bgColor rgb="FFE2E8F0"/>
      </patternFill>
    </fill>
    <fill>
      <patternFill patternType="solid">
        <fgColor rgb="FFE0E7FF"/>
        <bgColor rgb="FFE2E8F0"/>
      </patternFill>
    </fill>
    <fill>
      <patternFill patternType="solid">
        <fgColor rgb="FFFFE4E6"/>
        <bgColor rgb="FFFEE2E2"/>
      </patternFill>
    </fill>
    <fill>
      <patternFill patternType="solid">
        <fgColor rgb="FF991B1B"/>
        <bgColor rgb="FF9F123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6366F1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3730A3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i val="1"/>
        <color rgb="FF64748B"/>
        <sz val="10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9F1239"/>
        <sz val="10"/>
      </font>
      <fill>
        <patternFill>
          <bgColor rgb="FFFFE4E6"/>
        </patternFill>
      </fill>
    </dxf>
    <dxf>
      <font>
        <name val="Arial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color rgb="FF3730A3"/>
        <sz val="10"/>
      </font>
      <fill>
        <patternFill>
          <bgColor rgb="FFE0E7FF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ont>
        <name val="Arial"/>
        <charset val="1"/>
        <family val="0"/>
        <color rgb="FF065F46"/>
        <sz val="10"/>
      </font>
      <fill>
        <patternFill>
          <bgColor rgb="FFD1FAE5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E2E8F0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9F1239"/>
      <rgbColor rgb="FF008080"/>
      <rgbColor rgb="FF0000FF"/>
      <rgbColor rgb="FF00CCFF"/>
      <rgbColor rgb="FFF1F5F9"/>
      <rgbColor rgb="FFD1FAE5"/>
      <rgbColor rgb="FFFFE4E6"/>
      <rgbColor rgb="FFF8FAFC"/>
      <rgbColor rgb="FFFF99CC"/>
      <rgbColor rgb="FFCC99FF"/>
      <rgbColor rgb="FFFEE2E2"/>
      <rgbColor rgb="FF6366F1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2400E"/>
      <rgbColor rgb="FF993366"/>
      <rgbColor rgb="FF3730A3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/>
    </row>
    <row r="8" customFormat="false" ht="15" hidden="false" customHeight="false" outlineLevel="0" collapsed="false">
      <c r="A8" s="2" t="s">
        <v>10</v>
      </c>
      <c r="B8" s="3" t="s">
        <v>11</v>
      </c>
    </row>
    <row r="10" customFormat="false" ht="24" hidden="false" customHeight="true" outlineLevel="0" collapsed="false">
      <c r="A10" s="4" t="s">
        <v>12</v>
      </c>
      <c r="B10" s="4"/>
      <c r="C10" s="4"/>
      <c r="D10" s="4"/>
      <c r="E10" s="4"/>
      <c r="F10" s="4"/>
    </row>
    <row r="11" customFormat="false" ht="21.75" hidden="false" customHeight="true" outlineLevel="0" collapsed="false">
      <c r="A11" s="5" t="s">
        <v>13</v>
      </c>
      <c r="B11" s="5"/>
      <c r="C11" s="5"/>
      <c r="D11" s="5"/>
      <c r="E11" s="5"/>
      <c r="F11" s="5"/>
    </row>
    <row r="12" customFormat="false" ht="21.75" hidden="false" customHeight="true" outlineLevel="0" collapsed="false">
      <c r="A12" s="5" t="s">
        <v>14</v>
      </c>
      <c r="B12" s="5"/>
      <c r="C12" s="5"/>
      <c r="D12" s="5"/>
      <c r="E12" s="5"/>
      <c r="F12" s="5"/>
    </row>
    <row r="13" customFormat="false" ht="21.75" hidden="false" customHeight="true" outlineLevel="0" collapsed="false">
      <c r="A13" s="5" t="s">
        <v>15</v>
      </c>
      <c r="B13" s="5"/>
      <c r="C13" s="5"/>
      <c r="D13" s="5"/>
      <c r="E13" s="5"/>
      <c r="F13" s="5"/>
    </row>
    <row r="14" customFormat="false" ht="21.75" hidden="false" customHeight="true" outlineLevel="0" collapsed="false">
      <c r="A14" s="5" t="s">
        <v>16</v>
      </c>
      <c r="B14" s="5"/>
      <c r="C14" s="5"/>
      <c r="D14" s="5"/>
      <c r="E14" s="5"/>
      <c r="F14" s="5"/>
    </row>
    <row r="15" customFormat="false" ht="21.75" hidden="false" customHeight="true" outlineLevel="0" collapsed="false">
      <c r="A15" s="5" t="s">
        <v>17</v>
      </c>
      <c r="B15" s="5"/>
      <c r="C15" s="5"/>
      <c r="D15" s="5"/>
      <c r="E15" s="5"/>
      <c r="F15" s="5"/>
    </row>
    <row r="16" customFormat="false" ht="21.75" hidden="false" customHeight="true" outlineLevel="0" collapsed="false">
      <c r="A16" s="5" t="s">
        <v>18</v>
      </c>
      <c r="B16" s="5"/>
      <c r="C16" s="5"/>
      <c r="D16" s="5"/>
      <c r="E16" s="5"/>
      <c r="F16" s="5"/>
    </row>
    <row r="17" customFormat="false" ht="21.75" hidden="false" customHeight="true" outlineLevel="0" collapsed="false">
      <c r="A17" s="5" t="s">
        <v>19</v>
      </c>
      <c r="B17" s="5"/>
      <c r="C17" s="5"/>
      <c r="D17" s="5"/>
      <c r="E17" s="5"/>
      <c r="F17" s="5"/>
    </row>
    <row r="19" customFormat="false" ht="24" hidden="false" customHeight="true" outlineLevel="0" collapsed="false">
      <c r="A19" s="6" t="s">
        <v>20</v>
      </c>
      <c r="B19" s="6"/>
      <c r="C19" s="6"/>
      <c r="D19" s="6"/>
      <c r="E19" s="6"/>
      <c r="F19" s="6"/>
    </row>
    <row r="20" customFormat="false" ht="19.5" hidden="false" customHeight="true" outlineLevel="0" collapsed="false">
      <c r="A20" s="7" t="s">
        <v>21</v>
      </c>
      <c r="B20" s="7"/>
      <c r="C20" s="7"/>
      <c r="D20" s="7"/>
      <c r="E20" s="7"/>
      <c r="F20" s="7"/>
    </row>
    <row r="21" customFormat="false" ht="19.5" hidden="false" customHeight="true" outlineLevel="0" collapsed="false">
      <c r="A21" s="7" t="s">
        <v>22</v>
      </c>
      <c r="B21" s="7"/>
      <c r="C21" s="7"/>
      <c r="D21" s="7"/>
      <c r="E21" s="7"/>
      <c r="F21" s="7"/>
    </row>
    <row r="22" customFormat="false" ht="19.5" hidden="false" customHeight="true" outlineLevel="0" collapsed="false">
      <c r="A22" s="7" t="s">
        <v>23</v>
      </c>
      <c r="B22" s="7"/>
      <c r="C22" s="7"/>
      <c r="D22" s="7"/>
      <c r="E22" s="7"/>
      <c r="F22" s="7"/>
    </row>
    <row r="23" customFormat="false" ht="19.5" hidden="false" customHeight="true" outlineLevel="0" collapsed="false">
      <c r="A23" s="7" t="s">
        <v>24</v>
      </c>
      <c r="B23" s="7"/>
      <c r="C23" s="7"/>
      <c r="D23" s="7"/>
      <c r="E23" s="7"/>
      <c r="F23" s="7"/>
    </row>
    <row r="24" customFormat="false" ht="19.5" hidden="false" customHeight="true" outlineLevel="0" collapsed="false">
      <c r="A24" s="7" t="s">
        <v>25</v>
      </c>
      <c r="B24" s="7"/>
      <c r="C24" s="7"/>
      <c r="D24" s="7"/>
      <c r="E24" s="7"/>
      <c r="F24" s="7"/>
    </row>
    <row r="25" customFormat="false" ht="19.5" hidden="false" customHeight="true" outlineLevel="0" collapsed="false">
      <c r="A25" s="7" t="s">
        <v>26</v>
      </c>
      <c r="B25" s="7"/>
      <c r="C25" s="7"/>
      <c r="D25" s="7"/>
      <c r="E25" s="7"/>
      <c r="F25" s="7"/>
    </row>
    <row r="26" customFormat="false" ht="19.5" hidden="false" customHeight="true" outlineLevel="0" collapsed="false">
      <c r="A26" s="7" t="s">
        <v>27</v>
      </c>
      <c r="B26" s="7"/>
      <c r="C26" s="7"/>
      <c r="D26" s="7"/>
      <c r="E26" s="7"/>
      <c r="F26" s="7"/>
    </row>
  </sheetData>
  <mergeCells count="17">
    <mergeCell ref="A1:F1"/>
    <mergeCell ref="A10:F10"/>
    <mergeCell ref="A11:F11"/>
    <mergeCell ref="A12:F12"/>
    <mergeCell ref="A13:F13"/>
    <mergeCell ref="A14:F14"/>
    <mergeCell ref="A15:F15"/>
    <mergeCell ref="A16:F16"/>
    <mergeCell ref="A17:F17"/>
    <mergeCell ref="A19:F19"/>
    <mergeCell ref="A20:F20"/>
    <mergeCell ref="A21:F21"/>
    <mergeCell ref="A22:F22"/>
    <mergeCell ref="A23:F23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8" width="6"/>
    <col collapsed="false" customWidth="true" hidden="false" outlineLevel="0" max="2" min="2" style="8" width="14"/>
    <col collapsed="false" customWidth="true" hidden="false" outlineLevel="0" max="3" min="3" style="8" width="22"/>
    <col collapsed="false" customWidth="true" hidden="false" outlineLevel="0" max="5" min="4" style="8" width="12"/>
    <col collapsed="false" customWidth="true" hidden="false" outlineLevel="0" max="6" min="6" style="8" width="32"/>
    <col collapsed="false" customWidth="true" hidden="false" outlineLevel="0" max="7" min="7" style="8" width="42"/>
    <col collapsed="false" customWidth="true" hidden="false" outlineLevel="0" max="8" min="8" style="8" width="40"/>
    <col collapsed="false" customWidth="true" hidden="false" outlineLevel="0" max="9" min="9" style="8" width="28"/>
    <col collapsed="false" customWidth="true" hidden="false" outlineLevel="0" max="11" min="10" style="8" width="14"/>
    <col collapsed="false" customWidth="true" hidden="false" outlineLevel="0" max="12" min="12" style="8" width="28"/>
  </cols>
  <sheetData>
    <row r="1" customFormat="false" ht="33.75" hidden="false" customHeight="tru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</row>
    <row r="2" customFormat="false" ht="78" hidden="false" customHeight="true" outlineLevel="0" collapsed="false">
      <c r="A2" s="10" t="n">
        <v>1</v>
      </c>
      <c r="B2" s="10" t="s">
        <v>40</v>
      </c>
      <c r="C2" s="11" t="s">
        <v>41</v>
      </c>
      <c r="D2" s="10" t="s">
        <v>42</v>
      </c>
      <c r="E2" s="10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0" t="s">
        <v>48</v>
      </c>
      <c r="K2" s="11"/>
      <c r="L2" s="11"/>
    </row>
    <row r="3" customFormat="false" ht="78" hidden="false" customHeight="true" outlineLevel="0" collapsed="false">
      <c r="A3" s="12" t="n">
        <v>2</v>
      </c>
      <c r="B3" s="12" t="s">
        <v>49</v>
      </c>
      <c r="C3" s="13" t="s">
        <v>41</v>
      </c>
      <c r="D3" s="12" t="s">
        <v>50</v>
      </c>
      <c r="E3" s="12" t="s">
        <v>43</v>
      </c>
      <c r="F3" s="13" t="s">
        <v>51</v>
      </c>
      <c r="G3" s="13" t="s">
        <v>52</v>
      </c>
      <c r="H3" s="13" t="s">
        <v>53</v>
      </c>
      <c r="I3" s="13" t="s">
        <v>54</v>
      </c>
      <c r="J3" s="12" t="s">
        <v>48</v>
      </c>
      <c r="K3" s="13"/>
      <c r="L3" s="13"/>
    </row>
    <row r="4" customFormat="false" ht="78" hidden="false" customHeight="true" outlineLevel="0" collapsed="false">
      <c r="A4" s="10" t="n">
        <v>3</v>
      </c>
      <c r="B4" s="10" t="s">
        <v>55</v>
      </c>
      <c r="C4" s="11" t="s">
        <v>56</v>
      </c>
      <c r="D4" s="10" t="s">
        <v>42</v>
      </c>
      <c r="E4" s="10" t="s">
        <v>43</v>
      </c>
      <c r="F4" s="11" t="s">
        <v>57</v>
      </c>
      <c r="G4" s="11" t="s">
        <v>58</v>
      </c>
      <c r="H4" s="11" t="s">
        <v>59</v>
      </c>
      <c r="I4" s="11" t="s">
        <v>60</v>
      </c>
      <c r="J4" s="10" t="s">
        <v>48</v>
      </c>
      <c r="K4" s="11"/>
      <c r="L4" s="11"/>
    </row>
    <row r="5" customFormat="false" ht="78" hidden="false" customHeight="true" outlineLevel="0" collapsed="false">
      <c r="A5" s="12" t="n">
        <v>4</v>
      </c>
      <c r="B5" s="12" t="s">
        <v>61</v>
      </c>
      <c r="C5" s="13" t="s">
        <v>56</v>
      </c>
      <c r="D5" s="12" t="s">
        <v>50</v>
      </c>
      <c r="E5" s="12" t="s">
        <v>43</v>
      </c>
      <c r="F5" s="13" t="s">
        <v>62</v>
      </c>
      <c r="G5" s="13" t="s">
        <v>63</v>
      </c>
      <c r="H5" s="13" t="s">
        <v>64</v>
      </c>
      <c r="I5" s="13" t="s">
        <v>60</v>
      </c>
      <c r="J5" s="12" t="s">
        <v>48</v>
      </c>
      <c r="K5" s="13"/>
      <c r="L5" s="13"/>
    </row>
    <row r="6" customFormat="false" ht="78" hidden="false" customHeight="true" outlineLevel="0" collapsed="false">
      <c r="A6" s="10" t="n">
        <v>5</v>
      </c>
      <c r="B6" s="10" t="s">
        <v>65</v>
      </c>
      <c r="C6" s="11" t="s">
        <v>56</v>
      </c>
      <c r="D6" s="10" t="s">
        <v>50</v>
      </c>
      <c r="E6" s="10" t="s">
        <v>66</v>
      </c>
      <c r="F6" s="11" t="s">
        <v>67</v>
      </c>
      <c r="G6" s="11" t="s">
        <v>68</v>
      </c>
      <c r="H6" s="11" t="s">
        <v>69</v>
      </c>
      <c r="I6" s="11" t="s">
        <v>70</v>
      </c>
      <c r="J6" s="10" t="s">
        <v>48</v>
      </c>
      <c r="K6" s="11"/>
      <c r="L6" s="11"/>
    </row>
    <row r="7" customFormat="false" ht="78" hidden="false" customHeight="true" outlineLevel="0" collapsed="false">
      <c r="A7" s="12" t="n">
        <v>6</v>
      </c>
      <c r="B7" s="12" t="s">
        <v>71</v>
      </c>
      <c r="C7" s="13" t="s">
        <v>72</v>
      </c>
      <c r="D7" s="12" t="s">
        <v>42</v>
      </c>
      <c r="E7" s="12" t="s">
        <v>43</v>
      </c>
      <c r="F7" s="13" t="s">
        <v>73</v>
      </c>
      <c r="G7" s="13" t="s">
        <v>74</v>
      </c>
      <c r="H7" s="13" t="s">
        <v>75</v>
      </c>
      <c r="I7" s="13" t="s">
        <v>76</v>
      </c>
      <c r="J7" s="12" t="s">
        <v>48</v>
      </c>
      <c r="K7" s="13"/>
      <c r="L7" s="13"/>
    </row>
    <row r="8" customFormat="false" ht="78" hidden="false" customHeight="true" outlineLevel="0" collapsed="false">
      <c r="A8" s="10" t="n">
        <v>7</v>
      </c>
      <c r="B8" s="10" t="s">
        <v>77</v>
      </c>
      <c r="C8" s="11" t="s">
        <v>72</v>
      </c>
      <c r="D8" s="10" t="s">
        <v>50</v>
      </c>
      <c r="E8" s="10" t="s">
        <v>66</v>
      </c>
      <c r="F8" s="11" t="s">
        <v>78</v>
      </c>
      <c r="G8" s="11" t="s">
        <v>79</v>
      </c>
      <c r="H8" s="11" t="s">
        <v>80</v>
      </c>
      <c r="I8" s="11" t="s">
        <v>81</v>
      </c>
      <c r="J8" s="10" t="s">
        <v>48</v>
      </c>
      <c r="K8" s="11"/>
      <c r="L8" s="11"/>
    </row>
    <row r="9" customFormat="false" ht="78" hidden="false" customHeight="true" outlineLevel="0" collapsed="false">
      <c r="A9" s="12" t="n">
        <v>8</v>
      </c>
      <c r="B9" s="12" t="s">
        <v>82</v>
      </c>
      <c r="C9" s="13" t="s">
        <v>83</v>
      </c>
      <c r="D9" s="12" t="s">
        <v>50</v>
      </c>
      <c r="E9" s="12" t="s">
        <v>43</v>
      </c>
      <c r="F9" s="13" t="s">
        <v>84</v>
      </c>
      <c r="G9" s="13" t="s">
        <v>85</v>
      </c>
      <c r="H9" s="13" t="s">
        <v>86</v>
      </c>
      <c r="I9" s="13" t="s">
        <v>87</v>
      </c>
      <c r="J9" s="12" t="s">
        <v>48</v>
      </c>
      <c r="K9" s="13"/>
      <c r="L9" s="13"/>
    </row>
    <row r="10" customFormat="false" ht="78" hidden="false" customHeight="true" outlineLevel="0" collapsed="false">
      <c r="A10" s="10" t="n">
        <v>9</v>
      </c>
      <c r="B10" s="10" t="s">
        <v>88</v>
      </c>
      <c r="C10" s="11" t="s">
        <v>89</v>
      </c>
      <c r="D10" s="10" t="s">
        <v>42</v>
      </c>
      <c r="E10" s="10" t="s">
        <v>66</v>
      </c>
      <c r="F10" s="11" t="s">
        <v>90</v>
      </c>
      <c r="G10" s="11" t="s">
        <v>91</v>
      </c>
      <c r="H10" s="11" t="s">
        <v>92</v>
      </c>
      <c r="I10" s="11" t="s">
        <v>93</v>
      </c>
      <c r="J10" s="10" t="s">
        <v>48</v>
      </c>
      <c r="K10" s="11"/>
      <c r="L10" s="11"/>
    </row>
    <row r="11" customFormat="false" ht="78" hidden="false" customHeight="true" outlineLevel="0" collapsed="false">
      <c r="A11" s="12" t="n">
        <v>10</v>
      </c>
      <c r="B11" s="12" t="s">
        <v>94</v>
      </c>
      <c r="C11" s="13" t="s">
        <v>89</v>
      </c>
      <c r="D11" s="12" t="s">
        <v>95</v>
      </c>
      <c r="E11" s="12" t="s">
        <v>66</v>
      </c>
      <c r="F11" s="13" t="s">
        <v>96</v>
      </c>
      <c r="G11" s="13" t="s">
        <v>97</v>
      </c>
      <c r="H11" s="13" t="s">
        <v>98</v>
      </c>
      <c r="I11" s="13" t="s">
        <v>99</v>
      </c>
      <c r="J11" s="12" t="s">
        <v>48</v>
      </c>
      <c r="K11" s="13"/>
      <c r="L11" s="13"/>
    </row>
    <row r="12" customFormat="false" ht="78" hidden="false" customHeight="true" outlineLevel="0" collapsed="false">
      <c r="A12" s="10" t="n">
        <v>11</v>
      </c>
      <c r="B12" s="10" t="s">
        <v>100</v>
      </c>
      <c r="C12" s="11" t="s">
        <v>89</v>
      </c>
      <c r="D12" s="10" t="s">
        <v>50</v>
      </c>
      <c r="E12" s="10" t="s">
        <v>43</v>
      </c>
      <c r="F12" s="11" t="s">
        <v>101</v>
      </c>
      <c r="G12" s="11" t="s">
        <v>102</v>
      </c>
      <c r="H12" s="11" t="s">
        <v>103</v>
      </c>
      <c r="I12" s="11" t="s">
        <v>104</v>
      </c>
      <c r="J12" s="10" t="s">
        <v>48</v>
      </c>
      <c r="K12" s="11"/>
      <c r="L12" s="11"/>
    </row>
    <row r="13" customFormat="false" ht="78" hidden="false" customHeight="true" outlineLevel="0" collapsed="false">
      <c r="A13" s="12" t="n">
        <v>12</v>
      </c>
      <c r="B13" s="12" t="s">
        <v>105</v>
      </c>
      <c r="C13" s="13" t="s">
        <v>106</v>
      </c>
      <c r="D13" s="12" t="s">
        <v>50</v>
      </c>
      <c r="E13" s="12" t="s">
        <v>43</v>
      </c>
      <c r="F13" s="13" t="s">
        <v>107</v>
      </c>
      <c r="G13" s="13" t="s">
        <v>108</v>
      </c>
      <c r="H13" s="13" t="s">
        <v>109</v>
      </c>
      <c r="I13" s="13" t="s">
        <v>110</v>
      </c>
      <c r="J13" s="12" t="s">
        <v>48</v>
      </c>
      <c r="K13" s="13"/>
      <c r="L13" s="13"/>
    </row>
    <row r="14" customFormat="false" ht="78" hidden="false" customHeight="true" outlineLevel="0" collapsed="false">
      <c r="A14" s="10" t="n">
        <v>13</v>
      </c>
      <c r="B14" s="10" t="s">
        <v>111</v>
      </c>
      <c r="C14" s="11" t="s">
        <v>106</v>
      </c>
      <c r="D14" s="10" t="s">
        <v>95</v>
      </c>
      <c r="E14" s="10" t="s">
        <v>43</v>
      </c>
      <c r="F14" s="11" t="s">
        <v>112</v>
      </c>
      <c r="G14" s="11" t="s">
        <v>113</v>
      </c>
      <c r="H14" s="11" t="s">
        <v>114</v>
      </c>
      <c r="I14" s="11" t="s">
        <v>115</v>
      </c>
      <c r="J14" s="10" t="s">
        <v>48</v>
      </c>
      <c r="K14" s="11"/>
      <c r="L14" s="11"/>
    </row>
    <row r="15" customFormat="false" ht="78" hidden="false" customHeight="true" outlineLevel="0" collapsed="false">
      <c r="A15" s="12" t="n">
        <v>14</v>
      </c>
      <c r="B15" s="12" t="s">
        <v>116</v>
      </c>
      <c r="C15" s="13" t="s">
        <v>117</v>
      </c>
      <c r="D15" s="12" t="s">
        <v>42</v>
      </c>
      <c r="E15" s="12" t="s">
        <v>66</v>
      </c>
      <c r="F15" s="13" t="s">
        <v>118</v>
      </c>
      <c r="G15" s="13" t="s">
        <v>119</v>
      </c>
      <c r="H15" s="13" t="s">
        <v>120</v>
      </c>
      <c r="I15" s="13" t="s">
        <v>121</v>
      </c>
      <c r="J15" s="12" t="s">
        <v>48</v>
      </c>
      <c r="K15" s="13"/>
      <c r="L15" s="13"/>
    </row>
    <row r="16" customFormat="false" ht="78" hidden="false" customHeight="true" outlineLevel="0" collapsed="false">
      <c r="A16" s="10" t="n">
        <v>15</v>
      </c>
      <c r="B16" s="10" t="s">
        <v>122</v>
      </c>
      <c r="C16" s="11" t="s">
        <v>117</v>
      </c>
      <c r="D16" s="10" t="s">
        <v>50</v>
      </c>
      <c r="E16" s="10" t="s">
        <v>66</v>
      </c>
      <c r="F16" s="11" t="s">
        <v>123</v>
      </c>
      <c r="G16" s="11" t="s">
        <v>124</v>
      </c>
      <c r="H16" s="11" t="s">
        <v>125</v>
      </c>
      <c r="I16" s="11" t="s">
        <v>126</v>
      </c>
      <c r="J16" s="10" t="s">
        <v>48</v>
      </c>
      <c r="K16" s="11"/>
      <c r="L16" s="11"/>
    </row>
    <row r="17" customFormat="false" ht="78" hidden="false" customHeight="true" outlineLevel="0" collapsed="false">
      <c r="A17" s="12" t="n">
        <v>16</v>
      </c>
      <c r="B17" s="12" t="s">
        <v>127</v>
      </c>
      <c r="C17" s="13" t="s">
        <v>117</v>
      </c>
      <c r="D17" s="12" t="s">
        <v>50</v>
      </c>
      <c r="E17" s="12" t="s">
        <v>66</v>
      </c>
      <c r="F17" s="13" t="s">
        <v>128</v>
      </c>
      <c r="G17" s="13" t="s">
        <v>129</v>
      </c>
      <c r="H17" s="13" t="s">
        <v>130</v>
      </c>
      <c r="I17" s="13" t="s">
        <v>131</v>
      </c>
      <c r="J17" s="12" t="s">
        <v>48</v>
      </c>
      <c r="K17" s="13"/>
      <c r="L17" s="13"/>
    </row>
    <row r="18" customFormat="false" ht="78" hidden="false" customHeight="true" outlineLevel="0" collapsed="false">
      <c r="A18" s="10" t="n">
        <v>17</v>
      </c>
      <c r="B18" s="10" t="s">
        <v>132</v>
      </c>
      <c r="C18" s="11" t="s">
        <v>117</v>
      </c>
      <c r="D18" s="10" t="s">
        <v>42</v>
      </c>
      <c r="E18" s="10" t="s">
        <v>66</v>
      </c>
      <c r="F18" s="11" t="s">
        <v>133</v>
      </c>
      <c r="G18" s="11" t="s">
        <v>134</v>
      </c>
      <c r="H18" s="11" t="s">
        <v>135</v>
      </c>
      <c r="I18" s="11" t="s">
        <v>136</v>
      </c>
      <c r="J18" s="10" t="s">
        <v>48</v>
      </c>
      <c r="K18" s="11"/>
      <c r="L18" s="11"/>
    </row>
    <row r="19" customFormat="false" ht="78" hidden="false" customHeight="true" outlineLevel="0" collapsed="false">
      <c r="A19" s="12" t="n">
        <v>18</v>
      </c>
      <c r="B19" s="12" t="s">
        <v>137</v>
      </c>
      <c r="C19" s="13" t="s">
        <v>138</v>
      </c>
      <c r="D19" s="12" t="s">
        <v>50</v>
      </c>
      <c r="E19" s="12" t="s">
        <v>43</v>
      </c>
      <c r="F19" s="13" t="s">
        <v>139</v>
      </c>
      <c r="G19" s="13" t="s">
        <v>140</v>
      </c>
      <c r="H19" s="13" t="s">
        <v>141</v>
      </c>
      <c r="I19" s="13" t="s">
        <v>142</v>
      </c>
      <c r="J19" s="12" t="s">
        <v>48</v>
      </c>
      <c r="K19" s="13"/>
      <c r="L19" s="13"/>
    </row>
    <row r="20" customFormat="false" ht="78" hidden="false" customHeight="true" outlineLevel="0" collapsed="false">
      <c r="A20" s="10" t="n">
        <v>19</v>
      </c>
      <c r="B20" s="10" t="s">
        <v>143</v>
      </c>
      <c r="C20" s="11" t="s">
        <v>138</v>
      </c>
      <c r="D20" s="10" t="s">
        <v>95</v>
      </c>
      <c r="E20" s="10" t="s">
        <v>43</v>
      </c>
      <c r="F20" s="11" t="s">
        <v>144</v>
      </c>
      <c r="G20" s="11" t="s">
        <v>145</v>
      </c>
      <c r="H20" s="11" t="s">
        <v>146</v>
      </c>
      <c r="I20" s="11" t="s">
        <v>147</v>
      </c>
      <c r="J20" s="10" t="s">
        <v>48</v>
      </c>
      <c r="K20" s="11"/>
      <c r="L20" s="11"/>
    </row>
    <row r="21" customFormat="false" ht="78" hidden="false" customHeight="true" outlineLevel="0" collapsed="false">
      <c r="A21" s="12" t="n">
        <v>20</v>
      </c>
      <c r="B21" s="12" t="s">
        <v>148</v>
      </c>
      <c r="C21" s="13" t="s">
        <v>149</v>
      </c>
      <c r="D21" s="12" t="s">
        <v>50</v>
      </c>
      <c r="E21" s="12" t="s">
        <v>66</v>
      </c>
      <c r="F21" s="13" t="s">
        <v>150</v>
      </c>
      <c r="G21" s="13" t="s">
        <v>151</v>
      </c>
      <c r="H21" s="13" t="s">
        <v>152</v>
      </c>
      <c r="I21" s="13" t="s">
        <v>153</v>
      </c>
      <c r="J21" s="12" t="s">
        <v>48</v>
      </c>
      <c r="K21" s="13"/>
      <c r="L21" s="13"/>
    </row>
    <row r="22" customFormat="false" ht="78" hidden="false" customHeight="true" outlineLevel="0" collapsed="false">
      <c r="A22" s="10" t="n">
        <v>21</v>
      </c>
      <c r="B22" s="10" t="s">
        <v>154</v>
      </c>
      <c r="C22" s="11" t="s">
        <v>149</v>
      </c>
      <c r="D22" s="10" t="s">
        <v>42</v>
      </c>
      <c r="E22" s="10" t="s">
        <v>66</v>
      </c>
      <c r="F22" s="11" t="s">
        <v>155</v>
      </c>
      <c r="G22" s="11" t="s">
        <v>156</v>
      </c>
      <c r="H22" s="11" t="s">
        <v>157</v>
      </c>
      <c r="I22" s="11" t="s">
        <v>158</v>
      </c>
      <c r="J22" s="10" t="s">
        <v>48</v>
      </c>
      <c r="K22" s="11"/>
      <c r="L22" s="11"/>
    </row>
    <row r="23" customFormat="false" ht="78" hidden="false" customHeight="true" outlineLevel="0" collapsed="false">
      <c r="A23" s="12" t="n">
        <v>22</v>
      </c>
      <c r="B23" s="12" t="s">
        <v>159</v>
      </c>
      <c r="C23" s="13" t="s">
        <v>149</v>
      </c>
      <c r="D23" s="12" t="s">
        <v>50</v>
      </c>
      <c r="E23" s="12" t="s">
        <v>43</v>
      </c>
      <c r="F23" s="13" t="s">
        <v>160</v>
      </c>
      <c r="G23" s="13" t="s">
        <v>161</v>
      </c>
      <c r="H23" s="13" t="s">
        <v>162</v>
      </c>
      <c r="I23" s="13" t="s">
        <v>163</v>
      </c>
      <c r="J23" s="12" t="s">
        <v>48</v>
      </c>
      <c r="K23" s="13"/>
      <c r="L23" s="13"/>
    </row>
    <row r="24" customFormat="false" ht="78" hidden="false" customHeight="true" outlineLevel="0" collapsed="false">
      <c r="A24" s="10" t="n">
        <v>23</v>
      </c>
      <c r="B24" s="10" t="s">
        <v>164</v>
      </c>
      <c r="C24" s="11" t="s">
        <v>165</v>
      </c>
      <c r="D24" s="10" t="s">
        <v>42</v>
      </c>
      <c r="E24" s="10" t="s">
        <v>66</v>
      </c>
      <c r="F24" s="11" t="s">
        <v>166</v>
      </c>
      <c r="G24" s="11" t="s">
        <v>167</v>
      </c>
      <c r="H24" s="11" t="s">
        <v>168</v>
      </c>
      <c r="I24" s="11" t="s">
        <v>169</v>
      </c>
      <c r="J24" s="10" t="s">
        <v>48</v>
      </c>
      <c r="K24" s="11"/>
      <c r="L24" s="11"/>
    </row>
    <row r="25" customFormat="false" ht="78" hidden="false" customHeight="true" outlineLevel="0" collapsed="false">
      <c r="A25" s="12" t="n">
        <v>24</v>
      </c>
      <c r="B25" s="12" t="s">
        <v>170</v>
      </c>
      <c r="C25" s="13" t="s">
        <v>165</v>
      </c>
      <c r="D25" s="12" t="s">
        <v>42</v>
      </c>
      <c r="E25" s="12" t="s">
        <v>66</v>
      </c>
      <c r="F25" s="13" t="s">
        <v>171</v>
      </c>
      <c r="G25" s="13" t="s">
        <v>172</v>
      </c>
      <c r="H25" s="13" t="s">
        <v>173</v>
      </c>
      <c r="I25" s="13" t="s">
        <v>174</v>
      </c>
      <c r="J25" s="12" t="s">
        <v>48</v>
      </c>
      <c r="K25" s="13"/>
      <c r="L25" s="13"/>
    </row>
    <row r="26" customFormat="false" ht="78" hidden="false" customHeight="true" outlineLevel="0" collapsed="false">
      <c r="A26" s="10" t="n">
        <v>25</v>
      </c>
      <c r="B26" s="10" t="s">
        <v>175</v>
      </c>
      <c r="C26" s="11" t="s">
        <v>165</v>
      </c>
      <c r="D26" s="10" t="s">
        <v>50</v>
      </c>
      <c r="E26" s="10" t="s">
        <v>66</v>
      </c>
      <c r="F26" s="11" t="s">
        <v>176</v>
      </c>
      <c r="G26" s="11" t="s">
        <v>177</v>
      </c>
      <c r="H26" s="11" t="s">
        <v>178</v>
      </c>
      <c r="I26" s="11" t="s">
        <v>179</v>
      </c>
      <c r="J26" s="10" t="s">
        <v>48</v>
      </c>
      <c r="K26" s="11"/>
      <c r="L26" s="11"/>
    </row>
    <row r="27" customFormat="false" ht="78" hidden="false" customHeight="true" outlineLevel="0" collapsed="false">
      <c r="A27" s="12" t="n">
        <v>26</v>
      </c>
      <c r="B27" s="12" t="s">
        <v>180</v>
      </c>
      <c r="C27" s="13" t="s">
        <v>181</v>
      </c>
      <c r="D27" s="12" t="s">
        <v>95</v>
      </c>
      <c r="E27" s="12" t="s">
        <v>43</v>
      </c>
      <c r="F27" s="13" t="s">
        <v>182</v>
      </c>
      <c r="G27" s="13" t="s">
        <v>183</v>
      </c>
      <c r="H27" s="13" t="s">
        <v>184</v>
      </c>
      <c r="I27" s="13" t="s">
        <v>185</v>
      </c>
      <c r="J27" s="12" t="s">
        <v>48</v>
      </c>
      <c r="K27" s="13"/>
      <c r="L27" s="13"/>
    </row>
    <row r="28" customFormat="false" ht="78" hidden="false" customHeight="true" outlineLevel="0" collapsed="false">
      <c r="A28" s="10" t="n">
        <v>27</v>
      </c>
      <c r="B28" s="10" t="s">
        <v>186</v>
      </c>
      <c r="C28" s="11" t="s">
        <v>187</v>
      </c>
      <c r="D28" s="10" t="s">
        <v>95</v>
      </c>
      <c r="E28" s="10" t="s">
        <v>43</v>
      </c>
      <c r="F28" s="11" t="s">
        <v>188</v>
      </c>
      <c r="G28" s="11" t="s">
        <v>189</v>
      </c>
      <c r="H28" s="11" t="s">
        <v>190</v>
      </c>
      <c r="I28" s="11" t="s">
        <v>191</v>
      </c>
      <c r="J28" s="10" t="s">
        <v>48</v>
      </c>
      <c r="K28" s="11"/>
      <c r="L28" s="11"/>
    </row>
    <row r="29" customFormat="false" ht="78" hidden="false" customHeight="true" outlineLevel="0" collapsed="false">
      <c r="A29" s="12" t="n">
        <v>28</v>
      </c>
      <c r="B29" s="12" t="s">
        <v>192</v>
      </c>
      <c r="C29" s="13" t="s">
        <v>193</v>
      </c>
      <c r="D29" s="12" t="s">
        <v>50</v>
      </c>
      <c r="E29" s="12" t="s">
        <v>43</v>
      </c>
      <c r="F29" s="13" t="s">
        <v>194</v>
      </c>
      <c r="G29" s="13" t="s">
        <v>195</v>
      </c>
      <c r="H29" s="13" t="s">
        <v>196</v>
      </c>
      <c r="I29" s="13" t="s">
        <v>197</v>
      </c>
      <c r="J29" s="12" t="s">
        <v>48</v>
      </c>
      <c r="K29" s="13"/>
      <c r="L29" s="13"/>
    </row>
    <row r="30" customFormat="false" ht="78" hidden="false" customHeight="true" outlineLevel="0" collapsed="false">
      <c r="A30" s="10" t="n">
        <v>29</v>
      </c>
      <c r="B30" s="10" t="s">
        <v>198</v>
      </c>
      <c r="C30" s="11" t="s">
        <v>199</v>
      </c>
      <c r="D30" s="10" t="s">
        <v>95</v>
      </c>
      <c r="E30" s="10" t="s">
        <v>43</v>
      </c>
      <c r="F30" s="11" t="s">
        <v>200</v>
      </c>
      <c r="G30" s="11" t="s">
        <v>201</v>
      </c>
      <c r="H30" s="11" t="s">
        <v>202</v>
      </c>
      <c r="I30" s="11" t="s">
        <v>203</v>
      </c>
      <c r="J30" s="10" t="s">
        <v>48</v>
      </c>
      <c r="K30" s="11"/>
      <c r="L30" s="11"/>
    </row>
    <row r="31" customFormat="false" ht="78" hidden="false" customHeight="true" outlineLevel="0" collapsed="false">
      <c r="A31" s="12" t="n">
        <v>30</v>
      </c>
      <c r="B31" s="12" t="s">
        <v>204</v>
      </c>
      <c r="C31" s="13" t="s">
        <v>205</v>
      </c>
      <c r="D31" s="12" t="s">
        <v>42</v>
      </c>
      <c r="E31" s="12" t="s">
        <v>66</v>
      </c>
      <c r="F31" s="13" t="s">
        <v>206</v>
      </c>
      <c r="G31" s="13" t="s">
        <v>207</v>
      </c>
      <c r="H31" s="13" t="s">
        <v>208</v>
      </c>
      <c r="I31" s="13" t="s">
        <v>209</v>
      </c>
      <c r="J31" s="12" t="s">
        <v>48</v>
      </c>
      <c r="K31" s="13"/>
      <c r="L31" s="13"/>
    </row>
    <row r="32" customFormat="false" ht="78" hidden="false" customHeight="true" outlineLevel="0" collapsed="false">
      <c r="A32" s="10" t="n">
        <v>31</v>
      </c>
      <c r="B32" s="10" t="s">
        <v>210</v>
      </c>
      <c r="C32" s="11" t="s">
        <v>205</v>
      </c>
      <c r="D32" s="10" t="s">
        <v>95</v>
      </c>
      <c r="E32" s="10" t="s">
        <v>43</v>
      </c>
      <c r="F32" s="11" t="s">
        <v>211</v>
      </c>
      <c r="G32" s="11" t="s">
        <v>212</v>
      </c>
      <c r="H32" s="11" t="s">
        <v>213</v>
      </c>
      <c r="I32" s="11" t="s">
        <v>214</v>
      </c>
      <c r="J32" s="10" t="s">
        <v>48</v>
      </c>
      <c r="K32" s="11"/>
      <c r="L32" s="11"/>
    </row>
    <row r="33" customFormat="false" ht="78" hidden="false" customHeight="true" outlineLevel="0" collapsed="false">
      <c r="A33" s="12" t="n">
        <v>32</v>
      </c>
      <c r="B33" s="12" t="s">
        <v>215</v>
      </c>
      <c r="C33" s="13" t="s">
        <v>216</v>
      </c>
      <c r="D33" s="12" t="s">
        <v>50</v>
      </c>
      <c r="E33" s="12" t="s">
        <v>66</v>
      </c>
      <c r="F33" s="13" t="s">
        <v>217</v>
      </c>
      <c r="G33" s="13" t="s">
        <v>218</v>
      </c>
      <c r="H33" s="13" t="s">
        <v>219</v>
      </c>
      <c r="I33" s="13" t="s">
        <v>220</v>
      </c>
      <c r="J33" s="12" t="s">
        <v>48</v>
      </c>
      <c r="K33" s="13"/>
      <c r="L33" s="13"/>
    </row>
    <row r="34" customFormat="false" ht="78" hidden="false" customHeight="true" outlineLevel="0" collapsed="false">
      <c r="A34" s="10" t="n">
        <v>33</v>
      </c>
      <c r="B34" s="10" t="s">
        <v>221</v>
      </c>
      <c r="C34" s="11" t="s">
        <v>216</v>
      </c>
      <c r="D34" s="10" t="s">
        <v>95</v>
      </c>
      <c r="E34" s="10" t="s">
        <v>43</v>
      </c>
      <c r="F34" s="11" t="s">
        <v>222</v>
      </c>
      <c r="G34" s="11" t="s">
        <v>223</v>
      </c>
      <c r="H34" s="11" t="s">
        <v>224</v>
      </c>
      <c r="I34" s="11" t="s">
        <v>225</v>
      </c>
      <c r="J34" s="10" t="s">
        <v>48</v>
      </c>
      <c r="K34" s="11"/>
      <c r="L34" s="11"/>
    </row>
    <row r="35" customFormat="false" ht="78" hidden="false" customHeight="true" outlineLevel="0" collapsed="false">
      <c r="A35" s="12" t="n">
        <v>34</v>
      </c>
      <c r="B35" s="12" t="s">
        <v>226</v>
      </c>
      <c r="C35" s="13" t="s">
        <v>227</v>
      </c>
      <c r="D35" s="12" t="s">
        <v>42</v>
      </c>
      <c r="E35" s="12" t="s">
        <v>66</v>
      </c>
      <c r="F35" s="13" t="s">
        <v>228</v>
      </c>
      <c r="G35" s="13" t="s">
        <v>229</v>
      </c>
      <c r="H35" s="13" t="s">
        <v>230</v>
      </c>
      <c r="I35" s="13" t="s">
        <v>231</v>
      </c>
      <c r="J35" s="12" t="s">
        <v>48</v>
      </c>
      <c r="K35" s="13"/>
      <c r="L35" s="13"/>
    </row>
    <row r="36" customFormat="false" ht="78" hidden="false" customHeight="true" outlineLevel="0" collapsed="false">
      <c r="A36" s="10" t="n">
        <v>35</v>
      </c>
      <c r="B36" s="10" t="s">
        <v>232</v>
      </c>
      <c r="C36" s="11" t="s">
        <v>233</v>
      </c>
      <c r="D36" s="10" t="s">
        <v>42</v>
      </c>
      <c r="E36" s="10" t="s">
        <v>66</v>
      </c>
      <c r="F36" s="11" t="s">
        <v>234</v>
      </c>
      <c r="G36" s="11" t="s">
        <v>235</v>
      </c>
      <c r="H36" s="11" t="s">
        <v>236</v>
      </c>
      <c r="I36" s="11" t="s">
        <v>237</v>
      </c>
      <c r="J36" s="10" t="s">
        <v>48</v>
      </c>
      <c r="K36" s="11"/>
      <c r="L36" s="11"/>
    </row>
    <row r="37" customFormat="false" ht="78" hidden="false" customHeight="true" outlineLevel="0" collapsed="false">
      <c r="A37" s="12" t="n">
        <v>36</v>
      </c>
      <c r="B37" s="12" t="s">
        <v>238</v>
      </c>
      <c r="C37" s="13" t="s">
        <v>233</v>
      </c>
      <c r="D37" s="12" t="s">
        <v>42</v>
      </c>
      <c r="E37" s="12" t="s">
        <v>66</v>
      </c>
      <c r="F37" s="13" t="s">
        <v>239</v>
      </c>
      <c r="G37" s="13" t="s">
        <v>240</v>
      </c>
      <c r="H37" s="13" t="s">
        <v>241</v>
      </c>
      <c r="I37" s="13" t="s">
        <v>242</v>
      </c>
      <c r="J37" s="12" t="s">
        <v>48</v>
      </c>
      <c r="K37" s="13"/>
      <c r="L37" s="13"/>
    </row>
    <row r="38" customFormat="false" ht="78" hidden="false" customHeight="true" outlineLevel="0" collapsed="false">
      <c r="A38" s="10" t="n">
        <v>37</v>
      </c>
      <c r="B38" s="10" t="s">
        <v>243</v>
      </c>
      <c r="C38" s="11" t="s">
        <v>233</v>
      </c>
      <c r="D38" s="10" t="s">
        <v>50</v>
      </c>
      <c r="E38" s="10" t="s">
        <v>66</v>
      </c>
      <c r="F38" s="11" t="s">
        <v>244</v>
      </c>
      <c r="G38" s="11" t="s">
        <v>245</v>
      </c>
      <c r="H38" s="11" t="s">
        <v>246</v>
      </c>
      <c r="I38" s="11" t="s">
        <v>247</v>
      </c>
      <c r="J38" s="10" t="s">
        <v>48</v>
      </c>
      <c r="K38" s="11"/>
      <c r="L38" s="11"/>
    </row>
    <row r="41" customFormat="false" ht="27.75" hidden="false" customHeight="true" outlineLevel="0" collapsed="false">
      <c r="A41" s="14" t="s">
        <v>248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customFormat="false" ht="19.5" hidden="false" customHeight="true" outlineLevel="0" collapsed="false">
      <c r="A42" s="15" t="s">
        <v>249</v>
      </c>
      <c r="B42" s="15"/>
      <c r="C42" s="15"/>
      <c r="E42" s="15" t="s">
        <v>250</v>
      </c>
      <c r="F42" s="15"/>
      <c r="G42" s="15"/>
      <c r="H42" s="15"/>
      <c r="I42" s="15"/>
    </row>
    <row r="43" customFormat="false" ht="15" hidden="false" customHeight="false" outlineLevel="0" collapsed="false">
      <c r="A43" s="16" t="s">
        <v>37</v>
      </c>
      <c r="B43" s="16" t="s">
        <v>251</v>
      </c>
      <c r="C43" s="16" t="s">
        <v>252</v>
      </c>
      <c r="E43" s="16" t="s">
        <v>31</v>
      </c>
      <c r="F43" s="16" t="s">
        <v>253</v>
      </c>
      <c r="G43" s="16" t="s">
        <v>254</v>
      </c>
      <c r="H43" s="16" t="s">
        <v>255</v>
      </c>
      <c r="I43" s="16" t="s">
        <v>256</v>
      </c>
    </row>
    <row r="44" customFormat="false" ht="15" hidden="false" customHeight="false" outlineLevel="0" collapsed="false">
      <c r="A44" s="17" t="s">
        <v>48</v>
      </c>
      <c r="B44" s="18" t="n">
        <f aca="false">COUNTIF(J$2:J$38,"Nao iniciado")</f>
        <v>37</v>
      </c>
      <c r="C44" s="19" t="n">
        <f aca="false">IFERROR(B44/37,0)</f>
        <v>1</v>
      </c>
      <c r="E44" s="20" t="s">
        <v>42</v>
      </c>
      <c r="F44" s="18" t="n">
        <f aca="false">COUNTIF(D$2:D$38,"P0")</f>
        <v>13</v>
      </c>
      <c r="G44" s="18" t="n">
        <f aca="false">SUMPRODUCT((D$2:D$38="P0")*(J$2:J$38="PASS"))</f>
        <v>0</v>
      </c>
      <c r="H44" s="18" t="n">
        <f aca="false">SUMPRODUCT((D$2:D$38="P0")*(J$2:J$38="FAIL"))</f>
        <v>0</v>
      </c>
      <c r="I44" s="19" t="n">
        <f aca="false">IFERROR((G44+SUMPRODUCT((D$2:D$38="P0")*(J$2:J$38="N/A")))/MAX(1,F44),0)</f>
        <v>0</v>
      </c>
    </row>
    <row r="45" customFormat="false" ht="15" hidden="false" customHeight="false" outlineLevel="0" collapsed="false">
      <c r="A45" s="21" t="s">
        <v>257</v>
      </c>
      <c r="B45" s="18" t="n">
        <f aca="false">COUNTIF(J$2:J$38,"Em execucao")</f>
        <v>0</v>
      </c>
      <c r="C45" s="19" t="n">
        <f aca="false">IFERROR(B45/37,0)</f>
        <v>0</v>
      </c>
      <c r="E45" s="22" t="s">
        <v>50</v>
      </c>
      <c r="F45" s="18" t="n">
        <f aca="false">COUNTIF(D$2:D$38,"P1")</f>
        <v>16</v>
      </c>
      <c r="G45" s="18" t="n">
        <f aca="false">SUMPRODUCT((D$2:D$38="P1")*(J$2:J$38="PASS"))</f>
        <v>0</v>
      </c>
      <c r="H45" s="18" t="n">
        <f aca="false">SUMPRODUCT((D$2:D$38="P1")*(J$2:J$38="FAIL"))</f>
        <v>0</v>
      </c>
      <c r="I45" s="19" t="n">
        <f aca="false">IFERROR((G45+SUMPRODUCT((D$2:D$38="P1")*(J$2:J$38="N/A")))/MAX(1,F45),0)</f>
        <v>0</v>
      </c>
    </row>
    <row r="46" customFormat="false" ht="15" hidden="false" customHeight="false" outlineLevel="0" collapsed="false">
      <c r="A46" s="23" t="s">
        <v>254</v>
      </c>
      <c r="B46" s="18" t="n">
        <f aca="false">COUNTIF(J$2:J$38,"PASS")</f>
        <v>0</v>
      </c>
      <c r="C46" s="19" t="n">
        <f aca="false">IFERROR(B46/37,0)</f>
        <v>0</v>
      </c>
      <c r="E46" s="24" t="s">
        <v>95</v>
      </c>
      <c r="F46" s="18" t="n">
        <f aca="false">COUNTIF(D$2:D$38,"P2")</f>
        <v>8</v>
      </c>
      <c r="G46" s="18" t="n">
        <f aca="false">SUMPRODUCT((D$2:D$38="P2")*(J$2:J$38="PASS"))</f>
        <v>0</v>
      </c>
      <c r="H46" s="18" t="n">
        <f aca="false">SUMPRODUCT((D$2:D$38="P2")*(J$2:J$38="FAIL"))</f>
        <v>0</v>
      </c>
      <c r="I46" s="19" t="n">
        <f aca="false">IFERROR((G46+SUMPRODUCT((D$2:D$38="P2")*(J$2:J$38="N/A")))/MAX(1,F46),0)</f>
        <v>0</v>
      </c>
    </row>
    <row r="47" customFormat="false" ht="15" hidden="false" customHeight="false" outlineLevel="0" collapsed="false">
      <c r="A47" s="25" t="s">
        <v>255</v>
      </c>
      <c r="B47" s="18" t="n">
        <f aca="false">COUNTIF(J$2:J$38,"FAIL")</f>
        <v>0</v>
      </c>
      <c r="C47" s="19" t="n">
        <f aca="false">IFERROR(B47/37,0)</f>
        <v>0</v>
      </c>
    </row>
    <row r="48" customFormat="false" ht="15" hidden="false" customHeight="false" outlineLevel="0" collapsed="false">
      <c r="A48" s="26" t="s">
        <v>258</v>
      </c>
      <c r="B48" s="18" t="n">
        <f aca="false">COUNTIF(J$2:J$38,"N/A")</f>
        <v>0</v>
      </c>
      <c r="C48" s="19" t="n">
        <f aca="false">IFERROR(B48/37,0)</f>
        <v>0</v>
      </c>
      <c r="E48" s="15" t="s">
        <v>259</v>
      </c>
      <c r="F48" s="15"/>
      <c r="G48" s="15"/>
      <c r="H48" s="15"/>
      <c r="I48" s="15"/>
    </row>
    <row r="49" customFormat="false" ht="15" hidden="false" customHeight="false" outlineLevel="0" collapsed="false">
      <c r="A49" s="27" t="s">
        <v>260</v>
      </c>
      <c r="B49" s="18" t="n">
        <f aca="false">COUNTIF(J$2:J$38,"BLOCKED")</f>
        <v>0</v>
      </c>
      <c r="C49" s="19" t="n">
        <f aca="false">IFERROR(B49/37,0)</f>
        <v>0</v>
      </c>
      <c r="E49" s="28" t="s">
        <v>261</v>
      </c>
      <c r="F49" s="29" t="str">
        <f aca="false">IF(SUMPRODUCT((D$2:D$38="P0")*(J$2:J$38="FAIL"))=0,"OK","BLOQUEIO")</f>
        <v>OK</v>
      </c>
      <c r="G49" s="29"/>
      <c r="H49" s="29"/>
      <c r="I49" s="29"/>
    </row>
    <row r="50" customFormat="false" ht="15" hidden="false" customHeight="false" outlineLevel="0" collapsed="false">
      <c r="E50" s="28" t="s">
        <v>262</v>
      </c>
      <c r="F50" s="29" t="str">
        <f aca="false">IF((COUNTIF(J$2:J$38,"PASS")+COUNTIF(J$2:J$38,"N/A"))/37&gt;=0.95,"OK","PENDENTE")</f>
        <v>PENDENTE</v>
      </c>
      <c r="G50" s="29"/>
      <c r="H50" s="29"/>
      <c r="I50" s="29"/>
    </row>
  </sheetData>
  <autoFilter ref="A1:L38"/>
  <mergeCells count="6">
    <mergeCell ref="A41:L41"/>
    <mergeCell ref="A42:C42"/>
    <mergeCell ref="E42:I42"/>
    <mergeCell ref="E48:I48"/>
    <mergeCell ref="F49:I49"/>
    <mergeCell ref="F50:I50"/>
  </mergeCells>
  <conditionalFormatting sqref="J2:J38">
    <cfRule type="cellIs" priority="2" operator="equal" aboveAverage="0" equalAverage="0" bottom="0" percent="0" rank="0" text="" dxfId="10">
      <formula>"PASS"</formula>
    </cfRule>
    <cfRule type="cellIs" priority="3" operator="equal" aboveAverage="0" equalAverage="0" bottom="0" percent="0" rank="0" text="" dxfId="11">
      <formula>"FAIL"</formula>
    </cfRule>
    <cfRule type="cellIs" priority="4" operator="equal" aboveAverage="0" equalAverage="0" bottom="0" percent="0" rank="0" text="" dxfId="12">
      <formula>"Em execucao"</formula>
    </cfRule>
    <cfRule type="cellIs" priority="5" operator="equal" aboveAverage="0" equalAverage="0" bottom="0" percent="0" rank="0" text="" dxfId="13">
      <formula>"N/A"</formula>
    </cfRule>
    <cfRule type="cellIs" priority="6" operator="equal" aboveAverage="0" equalAverage="0" bottom="0" percent="0" rank="0" text="" dxfId="14">
      <formula>"BLOCKED"</formula>
    </cfRule>
  </conditionalFormatting>
  <conditionalFormatting sqref="D2:D38">
    <cfRule type="cellIs" priority="7" operator="equal" aboveAverage="0" equalAverage="0" bottom="0" percent="0" rank="0" text="" dxfId="11">
      <formula>"P0"</formula>
    </cfRule>
    <cfRule type="cellIs" priority="8" operator="equal" aboveAverage="0" equalAverage="0" bottom="0" percent="0" rank="0" text="" dxfId="15">
      <formula>"P1"</formula>
    </cfRule>
    <cfRule type="cellIs" priority="9" operator="equal" aboveAverage="0" equalAverage="0" bottom="0" percent="0" rank="0" text="" dxfId="16">
      <formula>"P2"</formula>
    </cfRule>
  </conditionalFormatting>
  <conditionalFormatting sqref="F49:F50">
    <cfRule type="cellIs" priority="10" operator="equal" aboveAverage="0" equalAverage="0" bottom="0" percent="0" rank="0" text="" dxfId="17">
      <formula>"OK"</formula>
    </cfRule>
    <cfRule type="cellIs" priority="11" operator="equal" aboveAverage="0" equalAverage="0" bottom="0" percent="0" rank="0" text="" dxfId="18">
      <formula>"BLOQUEIO"</formula>
    </cfRule>
    <cfRule type="cellIs" priority="12" operator="equal" aboveAverage="0" equalAverage="0" bottom="0" percent="0" rank="0" text="" dxfId="19">
      <formula>"PENDENTE"</formula>
    </cfRule>
  </conditionalFormatting>
  <dataValidations count="3">
    <dataValidation allowBlank="true" errorStyle="stop" operator="between" showDropDown="false" showErrorMessage="false" showInputMessage="false" sqref="J2:J38" type="list">
      <formula1>"Nao iniciado,Em execucao,PASS,FAIL,N/A,BLOCKED"</formula1>
      <formula2>0</formula2>
    </dataValidation>
    <dataValidation allowBlank="true" errorStyle="stop" operator="between" showDropDown="false" showErrorMessage="false" showInputMessage="false" sqref="D2:D38" type="list">
      <formula1>"P0,P1,P2"</formula1>
      <formula2>0</formula2>
    </dataValidation>
    <dataValidation allowBlank="true" errorStyle="stop" operator="between" showDropDown="false" showErrorMessage="false" showInputMessage="false" sqref="E2:E38" type="list">
      <formula1>"Smoke,Critico,Regressao"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8" width="6"/>
    <col collapsed="false" customWidth="true" hidden="false" outlineLevel="0" max="2" min="2" style="8" width="60"/>
    <col collapsed="false" customWidth="true" hidden="false" outlineLevel="0" max="3" min="3" style="8" width="16"/>
    <col collapsed="false" customWidth="true" hidden="false" outlineLevel="0" max="4" min="4" style="8" width="22"/>
  </cols>
  <sheetData>
    <row r="1" customFormat="false" ht="27.75" hidden="false" customHeight="true" outlineLevel="0" collapsed="false">
      <c r="A1" s="30" t="s">
        <v>263</v>
      </c>
      <c r="B1" s="30"/>
      <c r="C1" s="30"/>
      <c r="D1" s="30"/>
    </row>
    <row r="3" customFormat="false" ht="15" hidden="false" customHeight="true" outlineLevel="0" collapsed="false">
      <c r="A3" s="31" t="s">
        <v>264</v>
      </c>
      <c r="B3" s="31"/>
      <c r="C3" s="31"/>
      <c r="D3" s="31"/>
    </row>
    <row r="5" customFormat="false" ht="15" hidden="false" customHeight="true" outlineLevel="0" collapsed="false">
      <c r="A5" s="32" t="s">
        <v>28</v>
      </c>
      <c r="B5" s="32" t="s">
        <v>265</v>
      </c>
      <c r="C5" s="32" t="s">
        <v>266</v>
      </c>
      <c r="D5" s="32" t="s">
        <v>267</v>
      </c>
    </row>
    <row r="6" customFormat="false" ht="15" hidden="false" customHeight="true" outlineLevel="0" collapsed="false">
      <c r="A6" s="33" t="n">
        <v>1</v>
      </c>
      <c r="B6" s="33" t="s">
        <v>268</v>
      </c>
      <c r="C6" s="34" t="s">
        <v>269</v>
      </c>
      <c r="D6" s="33" t="s">
        <v>270</v>
      </c>
    </row>
    <row r="7" customFormat="false" ht="15" hidden="false" customHeight="true" outlineLevel="0" collapsed="false">
      <c r="A7" s="33" t="n">
        <v>2</v>
      </c>
      <c r="B7" s="33" t="s">
        <v>271</v>
      </c>
      <c r="C7" s="34" t="s">
        <v>269</v>
      </c>
      <c r="D7" s="33" t="s">
        <v>270</v>
      </c>
    </row>
    <row r="8" customFormat="false" ht="15" hidden="false" customHeight="true" outlineLevel="0" collapsed="false">
      <c r="A8" s="33" t="n">
        <v>3</v>
      </c>
      <c r="B8" s="33" t="s">
        <v>272</v>
      </c>
      <c r="C8" s="34" t="s">
        <v>269</v>
      </c>
      <c r="D8" s="33" t="s">
        <v>270</v>
      </c>
    </row>
    <row r="9" customFormat="false" ht="15" hidden="false" customHeight="true" outlineLevel="0" collapsed="false">
      <c r="A9" s="33" t="n">
        <v>4</v>
      </c>
      <c r="B9" s="33" t="s">
        <v>273</v>
      </c>
      <c r="C9" s="34" t="s">
        <v>269</v>
      </c>
      <c r="D9" s="33" t="s">
        <v>270</v>
      </c>
    </row>
    <row r="10" customFormat="false" ht="15" hidden="false" customHeight="true" outlineLevel="0" collapsed="false">
      <c r="A10" s="33" t="n">
        <v>5</v>
      </c>
      <c r="B10" s="33" t="s">
        <v>274</v>
      </c>
      <c r="C10" s="34" t="s">
        <v>269</v>
      </c>
      <c r="D10" s="33" t="s">
        <v>270</v>
      </c>
    </row>
    <row r="11" customFormat="false" ht="15" hidden="false" customHeight="true" outlineLevel="0" collapsed="false">
      <c r="A11" s="33" t="n">
        <v>6</v>
      </c>
      <c r="B11" s="33" t="s">
        <v>275</v>
      </c>
      <c r="C11" s="34" t="s">
        <v>269</v>
      </c>
      <c r="D11" s="33" t="s">
        <v>270</v>
      </c>
    </row>
    <row r="12" customFormat="false" ht="15" hidden="false" customHeight="true" outlineLevel="0" collapsed="false">
      <c r="A12" s="33" t="n">
        <v>7</v>
      </c>
      <c r="B12" s="33" t="s">
        <v>276</v>
      </c>
      <c r="C12" s="34" t="s">
        <v>269</v>
      </c>
      <c r="D12" s="33" t="s">
        <v>270</v>
      </c>
    </row>
    <row r="13" customFormat="false" ht="15" hidden="false" customHeight="true" outlineLevel="0" collapsed="false">
      <c r="A13" s="33" t="n">
        <v>8</v>
      </c>
      <c r="B13" s="33" t="s">
        <v>277</v>
      </c>
      <c r="C13" s="34" t="s">
        <v>269</v>
      </c>
      <c r="D13" s="33" t="s">
        <v>270</v>
      </c>
    </row>
    <row r="14" customFormat="false" ht="15" hidden="false" customHeight="true" outlineLevel="0" collapsed="false">
      <c r="A14" s="33" t="n">
        <v>9</v>
      </c>
      <c r="B14" s="33" t="s">
        <v>278</v>
      </c>
      <c r="C14" s="34" t="s">
        <v>269</v>
      </c>
      <c r="D14" s="33" t="s">
        <v>270</v>
      </c>
    </row>
    <row r="15" customFormat="false" ht="15" hidden="false" customHeight="true" outlineLevel="0" collapsed="false">
      <c r="A15" s="33" t="n">
        <v>10</v>
      </c>
      <c r="B15" s="33" t="s">
        <v>279</v>
      </c>
      <c r="C15" s="34" t="s">
        <v>269</v>
      </c>
      <c r="D15" s="33" t="s">
        <v>270</v>
      </c>
    </row>
    <row r="16" customFormat="false" ht="15" hidden="false" customHeight="true" outlineLevel="0" collapsed="false">
      <c r="A16" s="33" t="n">
        <v>11</v>
      </c>
      <c r="B16" s="33" t="s">
        <v>280</v>
      </c>
      <c r="C16" s="35" t="s">
        <v>281</v>
      </c>
      <c r="D16" s="33" t="s">
        <v>270</v>
      </c>
    </row>
    <row r="17" customFormat="false" ht="15" hidden="false" customHeight="true" outlineLevel="0" collapsed="false">
      <c r="A17" s="33" t="n">
        <v>12</v>
      </c>
      <c r="B17" s="33" t="s">
        <v>282</v>
      </c>
      <c r="C17" s="35" t="s">
        <v>281</v>
      </c>
      <c r="D17" s="33" t="s">
        <v>270</v>
      </c>
    </row>
    <row r="18" customFormat="false" ht="15" hidden="false" customHeight="true" outlineLevel="0" collapsed="false">
      <c r="A18" s="33" t="n">
        <v>13</v>
      </c>
      <c r="B18" s="33" t="s">
        <v>283</v>
      </c>
      <c r="C18" s="35" t="s">
        <v>281</v>
      </c>
      <c r="D18" s="33" t="s">
        <v>270</v>
      </c>
    </row>
    <row r="20" customFormat="false" ht="15" hidden="false" customHeight="true" outlineLevel="0" collapsed="false">
      <c r="A20" s="36" t="s">
        <v>284</v>
      </c>
      <c r="B20" s="36" t="n">
        <f aca="false">COUNTIF(D6:D18,"SIM")</f>
        <v>0</v>
      </c>
      <c r="C20" s="8" t="str">
        <f aca="false">IF(B20=0,"OK — SEM VIOLACOES","BLOQUEIO DE RELEASE")</f>
        <v>OK — SEM VIOLACOES</v>
      </c>
    </row>
  </sheetData>
  <mergeCells count="2">
    <mergeCell ref="A1:D1"/>
    <mergeCell ref="A3:D3"/>
  </mergeCells>
  <conditionalFormatting sqref="D6:D18">
    <cfRule type="cellIs" priority="2" operator="equal" aboveAverage="0" equalAverage="0" bottom="0" percent="0" rank="0" text="" dxfId="11">
      <formula>"SIM"</formula>
    </cfRule>
    <cfRule type="cellIs" priority="3" operator="equal" aboveAverage="0" equalAverage="0" bottom="0" percent="0" rank="0" text="" dxfId="20">
      <formula>"NAO"</formula>
    </cfRule>
  </conditionalFormatting>
  <conditionalFormatting sqref="C20">
    <cfRule type="cellIs" priority="4" operator="equal" aboveAverage="0" equalAverage="0" bottom="0" percent="0" rank="0" text="" dxfId="21">
      <formula>"OK — SEM VIOLACOES"</formula>
    </cfRule>
    <cfRule type="cellIs" priority="5" operator="equal" aboveAverage="0" equalAverage="0" bottom="0" percent="0" rank="0" text="" dxfId="22">
      <formula>"BLOQUEIO DE RELEASE"</formula>
    </cfRule>
  </conditionalFormatting>
  <dataValidations count="1">
    <dataValidation allowBlank="true" errorStyle="stop" operator="between" showDropDown="false" showErrorMessage="false" showInputMessage="false" sqref="D6:D18" type="list">
      <formula1>"SIM,NAO,N/A"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2026-04-21T08:59:46Z</dcterms:created>
  <dc:creator>openpyxl</dc:creator>
  <dc:description/>
  <dc:language>en-US</dc:language>
  <cp:lastModifiedBy/>
  <dcterms:modified xsi:type="dcterms:W3CDTF">2026-04-21T09:04:26Z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